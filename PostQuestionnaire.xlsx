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drawings/drawing9.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5317"/>
  <workbookPr showInkAnnotation="0" autoCompressPictures="0"/>
  <bookViews>
    <workbookView xWindow="0" yWindow="0" windowWidth="28740" windowHeight="16160" tabRatio="500"/>
  </bookViews>
  <sheets>
    <sheet name="PostQuestionnaire.csv" sheetId="1" r:id="rId1"/>
    <sheet name="Sheet1" sheetId="2" r:id="rId2"/>
    <sheet name="Average time collab" sheetId="3" r:id="rId3"/>
    <sheet name="Average Time" sheetId="8" r:id="rId4"/>
    <sheet name="Average Time Collab Correct" sheetId="4" r:id="rId5"/>
    <sheet name="Average Time Correct" sheetId="7" r:id="rId6"/>
    <sheet name="Average Time Collab Incorrect" sheetId="5" r:id="rId7"/>
    <sheet name="Average Time Incorrect" sheetId="6" r:id="rId8"/>
    <sheet name="Errors with Time" sheetId="9" r:id="rId9"/>
    <sheet name="Errors per Question" sheetId="10" r:id="rId10"/>
    <sheet name="Errors with Time Collab" sheetId="11" r:id="rId11"/>
    <sheet name="Errors per Question Collab" sheetId="12" r:id="rId12"/>
    <sheet name="Graphs" sheetId="13" r:id="rId13"/>
  </sheets>
  <definedNames>
    <definedName name="solver_eng" localSheetId="3" hidden="1">1</definedName>
    <definedName name="solver_lin" localSheetId="3" hidden="1">2</definedName>
    <definedName name="solver_neg" localSheetId="3" hidden="1">1</definedName>
    <definedName name="solver_num" localSheetId="3" hidden="1">0</definedName>
    <definedName name="solver_opt" localSheetId="3" hidden="1">'Average Time'!$C$57</definedName>
    <definedName name="solver_typ" localSheetId="3" hidden="1">1</definedName>
    <definedName name="solver_val" localSheetId="3" hidden="1">0</definedName>
    <definedName name="solver_ver" localSheetId="3" hidden="1">2</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D57" i="1" l="1"/>
  <c r="E57" i="1"/>
  <c r="F57" i="1"/>
  <c r="G57" i="1"/>
  <c r="H57" i="1"/>
  <c r="I57" i="1"/>
  <c r="J57" i="1"/>
  <c r="K57" i="1"/>
  <c r="L57" i="1"/>
  <c r="C57" i="1"/>
  <c r="C56" i="1"/>
  <c r="D56" i="1"/>
  <c r="E56" i="1"/>
  <c r="F56" i="1"/>
  <c r="G56" i="1"/>
  <c r="H56" i="1"/>
  <c r="I56" i="1"/>
  <c r="J56" i="1"/>
  <c r="K56" i="1"/>
  <c r="L56"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2" i="1"/>
  <c r="D27" i="4"/>
  <c r="F28" i="12"/>
  <c r="F27" i="12"/>
  <c r="C25" i="5"/>
  <c r="C48" i="3"/>
  <c r="B40" i="6"/>
  <c r="C31" i="7"/>
  <c r="B55" i="8"/>
  <c r="B55" i="9"/>
  <c r="B19" i="11"/>
  <c r="B17" i="12"/>
  <c r="B18" i="12"/>
  <c r="C17" i="12"/>
  <c r="C18" i="12"/>
  <c r="D17" i="12"/>
  <c r="D18" i="12"/>
  <c r="E17" i="12"/>
  <c r="E18" i="12"/>
  <c r="F17" i="12"/>
  <c r="F18" i="12"/>
  <c r="G17" i="12"/>
  <c r="G18" i="12"/>
  <c r="H17" i="12"/>
  <c r="H18" i="12"/>
  <c r="I17" i="12"/>
  <c r="I18" i="12"/>
  <c r="J17" i="12"/>
  <c r="J18" i="12"/>
  <c r="K17" i="12"/>
  <c r="K18" i="12"/>
  <c r="L17" i="12"/>
  <c r="L18" i="12"/>
  <c r="M17" i="12"/>
  <c r="M18" i="12"/>
  <c r="N17" i="12"/>
  <c r="N18" i="12"/>
  <c r="O17" i="12"/>
  <c r="O18" i="12"/>
  <c r="P17" i="12"/>
  <c r="P18" i="12"/>
  <c r="Q17" i="12"/>
  <c r="Q18" i="12"/>
  <c r="R17" i="12"/>
  <c r="R18" i="12"/>
  <c r="S17" i="12"/>
  <c r="S18" i="12"/>
  <c r="T17" i="12"/>
  <c r="T18" i="12"/>
  <c r="U17" i="12"/>
  <c r="U18" i="12"/>
  <c r="V17" i="12"/>
  <c r="V18" i="12"/>
  <c r="W17" i="12"/>
  <c r="W18" i="12"/>
  <c r="F21" i="12"/>
  <c r="B55" i="10"/>
  <c r="C18" i="11"/>
  <c r="D18" i="11"/>
  <c r="E18" i="11"/>
  <c r="F18" i="11"/>
  <c r="G18" i="11"/>
  <c r="H18" i="11"/>
  <c r="I18" i="11"/>
  <c r="J18" i="11"/>
  <c r="K18" i="11"/>
  <c r="L18" i="11"/>
  <c r="M18" i="11"/>
  <c r="N18" i="11"/>
  <c r="O18" i="11"/>
  <c r="P18" i="11"/>
  <c r="Q18" i="11"/>
  <c r="R18" i="11"/>
  <c r="S18" i="11"/>
  <c r="T18" i="11"/>
  <c r="U18" i="11"/>
  <c r="V18" i="11"/>
  <c r="W18" i="11"/>
  <c r="B18" i="11"/>
  <c r="C54" i="10"/>
  <c r="D54" i="10"/>
  <c r="E54" i="10"/>
  <c r="F54" i="10"/>
  <c r="G54" i="10"/>
  <c r="H54" i="10"/>
  <c r="I54" i="10"/>
  <c r="J54" i="10"/>
  <c r="K54" i="10"/>
  <c r="L54" i="10"/>
  <c r="M54" i="10"/>
  <c r="N54" i="10"/>
  <c r="O54" i="10"/>
  <c r="P54" i="10"/>
  <c r="Q54" i="10"/>
  <c r="R54" i="10"/>
  <c r="S54" i="10"/>
  <c r="T54" i="10"/>
  <c r="U54" i="10"/>
  <c r="V54" i="10"/>
  <c r="W54" i="10"/>
  <c r="X54" i="10"/>
  <c r="Y54" i="10"/>
  <c r="B54" i="10"/>
  <c r="C53" i="9"/>
  <c r="D53" i="9"/>
  <c r="E53" i="9"/>
  <c r="F53" i="9"/>
  <c r="G53" i="9"/>
  <c r="H53" i="9"/>
  <c r="I53" i="9"/>
  <c r="J53" i="9"/>
  <c r="K53" i="9"/>
  <c r="L53" i="9"/>
  <c r="M53" i="9"/>
  <c r="N53" i="9"/>
  <c r="O53" i="9"/>
  <c r="P53" i="9"/>
  <c r="Q53" i="9"/>
  <c r="R53" i="9"/>
  <c r="S53" i="9"/>
  <c r="T53" i="9"/>
  <c r="U53" i="9"/>
  <c r="V53" i="9"/>
  <c r="W53" i="9"/>
  <c r="X53" i="9"/>
  <c r="Y53" i="9"/>
  <c r="B53" i="9"/>
  <c r="B54" i="8"/>
  <c r="C57" i="8"/>
  <c r="C54" i="9"/>
  <c r="D54" i="9"/>
  <c r="E54" i="9"/>
  <c r="F54" i="9"/>
  <c r="G54" i="9"/>
  <c r="H54" i="9"/>
  <c r="I54" i="9"/>
  <c r="J54" i="9"/>
  <c r="K54" i="9"/>
  <c r="L54" i="9"/>
  <c r="M54" i="9"/>
  <c r="N54" i="9"/>
  <c r="O54" i="9"/>
  <c r="P54" i="9"/>
  <c r="Q54" i="9"/>
  <c r="R54" i="9"/>
  <c r="S54" i="9"/>
  <c r="T54" i="9"/>
  <c r="U54" i="9"/>
  <c r="V54" i="9"/>
  <c r="W54" i="9"/>
  <c r="X54" i="9"/>
  <c r="Y54" i="9"/>
  <c r="B54" i="9"/>
  <c r="C53" i="10"/>
  <c r="D53" i="10"/>
  <c r="E53" i="10"/>
  <c r="F53" i="10"/>
  <c r="G53" i="10"/>
  <c r="H53" i="10"/>
  <c r="I53" i="10"/>
  <c r="J53" i="10"/>
  <c r="K53" i="10"/>
  <c r="L53" i="10"/>
  <c r="M53" i="10"/>
  <c r="N53" i="10"/>
  <c r="O53" i="10"/>
  <c r="P53" i="10"/>
  <c r="Q53" i="10"/>
  <c r="R53" i="10"/>
  <c r="S53" i="10"/>
  <c r="T53" i="10"/>
  <c r="U53" i="10"/>
  <c r="V53" i="10"/>
  <c r="W53" i="10"/>
  <c r="X53" i="10"/>
  <c r="Y53" i="10"/>
  <c r="B53" i="10"/>
  <c r="C17" i="11"/>
  <c r="D17" i="11"/>
  <c r="E17" i="11"/>
  <c r="F17" i="11"/>
  <c r="G17" i="11"/>
  <c r="H17" i="11"/>
  <c r="I17" i="11"/>
  <c r="J17" i="11"/>
  <c r="K17" i="11"/>
  <c r="L17" i="11"/>
  <c r="M17" i="11"/>
  <c r="N17" i="11"/>
  <c r="O17" i="11"/>
  <c r="P17" i="11"/>
  <c r="Q17" i="11"/>
  <c r="R17" i="11"/>
  <c r="S17" i="11"/>
  <c r="T17" i="11"/>
  <c r="U17" i="11"/>
  <c r="V17" i="11"/>
  <c r="W17" i="11"/>
  <c r="B17" i="11"/>
  <c r="CA54" i="8"/>
  <c r="CB54" i="8"/>
  <c r="CC54" i="8"/>
  <c r="CD54" i="8"/>
  <c r="CE54" i="8"/>
  <c r="CF54" i="8"/>
  <c r="CG54" i="8"/>
  <c r="BL54" i="8"/>
  <c r="BM54" i="8"/>
  <c r="BN54" i="8"/>
  <c r="BO54" i="8"/>
  <c r="BP54" i="8"/>
  <c r="BQ54" i="8"/>
  <c r="BR54" i="8"/>
  <c r="BS54" i="8"/>
  <c r="BT54" i="8"/>
  <c r="BU54" i="8"/>
  <c r="BV54" i="8"/>
  <c r="BW54" i="8"/>
  <c r="BX54" i="8"/>
  <c r="BY54" i="8"/>
  <c r="BZ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AI54" i="8"/>
  <c r="AJ54" i="8"/>
  <c r="AK54" i="8"/>
  <c r="AL54" i="8"/>
  <c r="AM54" i="8"/>
  <c r="AN54" i="8"/>
  <c r="AO54" i="8"/>
  <c r="AP54" i="8"/>
  <c r="AQ54" i="8"/>
  <c r="AR54" i="8"/>
  <c r="AS54" i="8"/>
  <c r="AT54" i="8"/>
  <c r="AU54" i="8"/>
  <c r="AV54" i="8"/>
  <c r="AW54" i="8"/>
  <c r="AX54" i="8"/>
  <c r="AY54" i="8"/>
  <c r="AZ54" i="8"/>
  <c r="BA54" i="8"/>
  <c r="BB54" i="8"/>
  <c r="BC54" i="8"/>
  <c r="BD54" i="8"/>
  <c r="BE54" i="8"/>
  <c r="BF54" i="8"/>
  <c r="BG54" i="8"/>
  <c r="BH54" i="8"/>
  <c r="BI54" i="8"/>
  <c r="BJ54" i="8"/>
  <c r="BK54" i="8"/>
  <c r="C54" i="8"/>
  <c r="D54" i="8"/>
  <c r="E54" i="8"/>
  <c r="F54" i="8"/>
  <c r="A59" i="7"/>
  <c r="A60" i="7"/>
  <c r="A61" i="7"/>
  <c r="A62" i="7"/>
  <c r="A63" i="7"/>
  <c r="A64" i="7"/>
  <c r="A65" i="7"/>
  <c r="A56" i="7"/>
  <c r="A57" i="7"/>
  <c r="A58" i="7"/>
  <c r="A54" i="7"/>
  <c r="A55" i="7"/>
  <c r="A52" i="7"/>
  <c r="A53" i="7"/>
  <c r="A32" i="7"/>
  <c r="A33" i="7"/>
  <c r="A34" i="7"/>
  <c r="A35" i="7"/>
  <c r="A36" i="7"/>
  <c r="A37" i="7"/>
  <c r="A38" i="7"/>
  <c r="A39" i="7"/>
  <c r="A40" i="7"/>
  <c r="A41" i="7"/>
  <c r="A42" i="7"/>
  <c r="A43" i="7"/>
  <c r="A44" i="7"/>
  <c r="A45" i="7"/>
  <c r="A46" i="7"/>
  <c r="A47" i="7"/>
  <c r="A48" i="7"/>
  <c r="A49" i="7"/>
  <c r="A50" i="7"/>
  <c r="A51" i="7"/>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31" i="7"/>
  <c r="A40" i="6"/>
  <c r="A26" i="5"/>
  <c r="A27" i="5"/>
  <c r="A28" i="5"/>
  <c r="A29" i="5"/>
  <c r="A30" i="5"/>
  <c r="A31" i="5"/>
  <c r="A32" i="5"/>
  <c r="A33" i="5"/>
  <c r="A34" i="5"/>
  <c r="A35" i="5"/>
  <c r="A36" i="5"/>
  <c r="A37" i="5"/>
  <c r="A38" i="5"/>
  <c r="A40" i="5"/>
  <c r="A41" i="5"/>
  <c r="A42" i="5"/>
  <c r="A43" i="5"/>
  <c r="A44" i="5"/>
  <c r="A45" i="5"/>
  <c r="A25" i="5"/>
  <c r="A27" i="4"/>
  <c r="C27" i="4"/>
  <c r="A28" i="4"/>
  <c r="A29" i="4"/>
  <c r="A30" i="4"/>
  <c r="A31" i="4"/>
  <c r="A32" i="4"/>
  <c r="A33" i="4"/>
  <c r="A34" i="4"/>
  <c r="A35" i="4"/>
  <c r="A36" i="4"/>
  <c r="A37" i="4"/>
  <c r="A38" i="4"/>
  <c r="A39" i="4"/>
  <c r="A40" i="4"/>
  <c r="A41" i="4"/>
  <c r="A42" i="4"/>
  <c r="A43" i="4"/>
  <c r="A44" i="4"/>
  <c r="A48" i="3"/>
  <c r="A79" i="3"/>
  <c r="A80" i="3"/>
  <c r="A81" i="3"/>
  <c r="A82" i="3"/>
  <c r="A83" i="3"/>
  <c r="A84" i="3"/>
  <c r="A85" i="3"/>
  <c r="A86" i="3"/>
  <c r="A87" i="3"/>
  <c r="A88" i="3"/>
  <c r="A89" i="3"/>
  <c r="A53" i="3"/>
  <c r="A54" i="3"/>
  <c r="A55" i="3"/>
  <c r="A56" i="3"/>
  <c r="A57" i="3"/>
  <c r="A58" i="3"/>
  <c r="A59" i="3"/>
  <c r="A60" i="3"/>
  <c r="A61" i="3"/>
  <c r="A62" i="3"/>
  <c r="A63" i="3"/>
  <c r="A64" i="3"/>
  <c r="A65" i="3"/>
  <c r="A66" i="3"/>
  <c r="A67" i="3"/>
  <c r="A68" i="3"/>
  <c r="A69" i="3"/>
  <c r="A70" i="3"/>
  <c r="A71" i="3"/>
  <c r="A72" i="3"/>
  <c r="A73" i="3"/>
  <c r="A74" i="3"/>
  <c r="A75" i="3"/>
  <c r="A76" i="3"/>
  <c r="A77" i="3"/>
  <c r="A78" i="3"/>
  <c r="A51" i="3"/>
  <c r="A52" i="3"/>
  <c r="A49" i="3"/>
  <c r="A50" i="3"/>
  <c r="D55" i="1"/>
  <c r="E55" i="1"/>
  <c r="F55" i="1"/>
  <c r="G55" i="1"/>
  <c r="H55" i="1"/>
  <c r="I55" i="1"/>
  <c r="J55" i="1"/>
  <c r="K55" i="1"/>
  <c r="L55" i="1"/>
  <c r="M55" i="1"/>
  <c r="N55" i="1"/>
  <c r="O55" i="1"/>
  <c r="P55" i="1"/>
  <c r="Q55" i="1"/>
  <c r="R55" i="1"/>
  <c r="S55" i="1"/>
  <c r="T55" i="1"/>
  <c r="U55" i="1"/>
  <c r="V55" i="1"/>
  <c r="C55" i="1"/>
</calcChain>
</file>

<file path=xl/sharedStrings.xml><?xml version="1.0" encoding="utf-8"?>
<sst xmlns="http://schemas.openxmlformats.org/spreadsheetml/2006/main" count="1061" uniqueCount="337">
  <si>
    <t xml:space="preserve">User id </t>
  </si>
  <si>
    <t xml:space="preserve"> Question 1 </t>
  </si>
  <si>
    <t xml:space="preserve"> Question 2 </t>
  </si>
  <si>
    <t xml:space="preserve"> Question 3 </t>
  </si>
  <si>
    <t xml:space="preserve"> Question 4 </t>
  </si>
  <si>
    <t xml:space="preserve"> Question 5 </t>
  </si>
  <si>
    <t xml:space="preserve"> Question 6 </t>
  </si>
  <si>
    <t xml:space="preserve"> Question 7 </t>
  </si>
  <si>
    <t xml:space="preserve"> Question 8 </t>
  </si>
  <si>
    <t xml:space="preserve"> Question 9 </t>
  </si>
  <si>
    <t xml:space="preserve"> Question 10 </t>
  </si>
  <si>
    <t xml:space="preserve"> Question 11 </t>
  </si>
  <si>
    <t xml:space="preserve"> Question 12 </t>
  </si>
  <si>
    <t xml:space="preserve"> Question 13 </t>
  </si>
  <si>
    <t xml:space="preserve"> Question 14 </t>
  </si>
  <si>
    <t xml:space="preserve"> Question 15 </t>
  </si>
  <si>
    <t xml:space="preserve"> Question 16 </t>
  </si>
  <si>
    <t xml:space="preserve"> Question 17 </t>
  </si>
  <si>
    <t xml:space="preserve"> Question 18 </t>
  </si>
  <si>
    <t xml:space="preserve"> Question 19 </t>
  </si>
  <si>
    <t xml:space="preserve"> Question 20 </t>
  </si>
  <si>
    <t xml:space="preserve"> Question 21 </t>
  </si>
  <si>
    <t xml:space="preserve"> Question 22 </t>
  </si>
  <si>
    <t xml:space="preserve"> Question 23 </t>
  </si>
  <si>
    <t xml:space="preserve"> Question 24 </t>
  </si>
  <si>
    <t xml:space="preserve"> Question 25</t>
  </si>
  <si>
    <t xml:space="preserve"> Hands on experience with a visual form of linked lists </t>
  </si>
  <si>
    <t xml:space="preserve"> N/A </t>
  </si>
  <si>
    <t xml:space="preserve"> There were some glitches </t>
  </si>
  <si>
    <t xml:space="preserve">  </t>
  </si>
  <si>
    <t xml:space="preserve"> </t>
  </si>
  <si>
    <t xml:space="preserve"> Kept allowing you to try no matter how many times you submitted an answer </t>
  </si>
  <si>
    <t xml:space="preserve"> Didn't use them? </t>
  </si>
  <si>
    <t xml:space="preserve"> It would be interesting if you could add in code</t>
  </si>
  <si>
    <t xml:space="preserve"> because thats what we get tested on for exams. It was nice seeing how it all worked with diagrams like you did; however</t>
  </si>
  <si>
    <t xml:space="preserve"> I didn't actually practice any code so I don't know if I am doing that properly </t>
  </si>
  <si>
    <t xml:space="preserve"> Didn't use them </t>
  </si>
  <si>
    <t xml:space="preserve"> Good work!  </t>
  </si>
  <si>
    <t xml:space="preserve"> when it didn't bug out </t>
  </si>
  <si>
    <t xml:space="preserve"> fix bugs had to submit one thing 15 times </t>
  </si>
  <si>
    <t xml:space="preserve"> It was presented in a very clear way</t>
  </si>
  <si>
    <t xml:space="preserve"> I could think of any way to improve the visual presentation of the concepts. </t>
  </si>
  <si>
    <t xml:space="preserve"> Sometimes I had difficulty finding the buttons I needed. It might be useful to rearrange the options list so that buttons don't automatically reorganize themselves into new positions. </t>
  </si>
  <si>
    <t xml:space="preserve"> I encountered a question asking me to organize a list of letters in numerical order</t>
  </si>
  <si>
    <t xml:space="preserve"> which was very confusing. Other than that it was a very useful learning tool. </t>
  </si>
  <si>
    <t xml:space="preserve"> It worked </t>
  </si>
  <si>
    <t xml:space="preserve"> Did not really teach me anything about linked list. Just seemed like moving blocks around. In my opinion you cant make it any better. </t>
  </si>
  <si>
    <t xml:space="preserve"> It was made well I just didn't find it useful. </t>
  </si>
  <si>
    <t xml:space="preserve"> Easy enough to get bonus mark. </t>
  </si>
  <si>
    <t xml:space="preserve"> You can work with someone which improves teamwork skills. </t>
  </si>
  <si>
    <t xml:space="preserve"> If the system responds quickly I will like it more. </t>
  </si>
  <si>
    <t xml:space="preserve"> The partner window pop-up every time the partner joined or starts a question</t>
  </si>
  <si>
    <t xml:space="preserve"> it makes me hard to see the left bottom part of my screen. </t>
  </si>
  <si>
    <t xml:space="preserve"> When I do the removing part</t>
  </si>
  <si>
    <t xml:space="preserve"> the nodes can somehow move automatically and then the system died</t>
  </si>
  <si>
    <t xml:space="preserve"> which makes me have to start over.  </t>
  </si>
  <si>
    <t xml:space="preserve"> Introduction. </t>
  </si>
  <si>
    <t xml:space="preserve"> Make the introduction much clearer. </t>
  </si>
  <si>
    <t xml:space="preserve"> So far</t>
  </si>
  <si>
    <t xml:space="preserve">so good. </t>
  </si>
  <si>
    <t xml:space="preserve"> It teaches the theoroy </t>
  </si>
  <si>
    <t xml:space="preserve"> Add some actual code implementation pieces</t>
  </si>
  <si>
    <t xml:space="preserve"> also int - 4 ---&gt; int = 4 </t>
  </si>
  <si>
    <t xml:space="preserve"> A lot of questions would reject correct answers</t>
  </si>
  <si>
    <t xml:space="preserve"> going through I think that it is displaying variables but storing different ones as it's value </t>
  </si>
  <si>
    <t xml:space="preserve"> The simplicity and creativeness  </t>
  </si>
  <si>
    <t xml:space="preserve"> not sure </t>
  </si>
  <si>
    <t xml:space="preserve"> More consistant when changing the lines  </t>
  </si>
  <si>
    <t xml:space="preserve"> How easy it is to pick up and understand how to use it. </t>
  </si>
  <si>
    <t xml:space="preserve"> There were a few parts where I got the question wrong</t>
  </si>
  <si>
    <t xml:space="preserve"> even though it was right. Went back and did the same thing and was then marked as correct. (specifically in the removing portions) </t>
  </si>
  <si>
    <t xml:space="preserve"> Loved it. Job well done! </t>
  </si>
  <si>
    <t xml:space="preserve"> The arrows are hard to use</t>
  </si>
  <si>
    <t xml:space="preserve"> the diagrams just keep getting messed up for no reason </t>
  </si>
  <si>
    <t xml:space="preserve"> change the order of the elements </t>
  </si>
  <si>
    <t xml:space="preserve"> not smart enough </t>
  </si>
  <si>
    <t xml:space="preserve"> It is a creative idea and can be very useful if refined </t>
  </si>
  <si>
    <t xml:space="preserve"> The system tends to freeze or slows down sometimes. </t>
  </si>
  <si>
    <t xml:space="preserve"> The system was helpful. </t>
  </si>
  <si>
    <t xml:space="preserve"> Helps me to visualize how the linked list is working </t>
  </si>
  <si>
    <t xml:space="preserve"> It would be nice if in the section for rearranging nodes it would let me create a pointer from a node so that I could reconnect it to other nodes </t>
  </si>
  <si>
    <t xml:space="preserve"> The fact that it was so easy </t>
  </si>
  <si>
    <t xml:space="preserve"> I didn't use the collab part. </t>
  </si>
  <si>
    <t xml:space="preserve"> Make it less glitchy and fix the bug errors. </t>
  </si>
  <si>
    <t xml:space="preserve"> Didn't use collab part. </t>
  </si>
  <si>
    <t xml:space="preserve"> I disliked the portions where the project would glitch out on you and say you have done it wrong when you inserted the correct answers</t>
  </si>
  <si>
    <t xml:space="preserve"> forcing you to exit the question and re-enter it. </t>
  </si>
  <si>
    <t xml:space="preserve"> its simplicity and effectivness  </t>
  </si>
  <si>
    <t xml:space="preserve"> did not use </t>
  </si>
  <si>
    <t xml:space="preserve"> make it easier to move the pointers  </t>
  </si>
  <si>
    <t xml:space="preserve"> SImple to navigate</t>
  </si>
  <si>
    <t xml:space="preserve"> easy to use</t>
  </si>
  <si>
    <t xml:space="preserve"> and engaging. Feels like a puzzle game rather than work.  </t>
  </si>
  <si>
    <t xml:space="preserve"> - </t>
  </si>
  <si>
    <t xml:space="preserve"> Questions would</t>
  </si>
  <si>
    <t xml:space="preserve"> on occasion</t>
  </si>
  <si>
    <t xml:space="preserve"> return that they had been answered incorrectly when they were infact correctly answered (mostly the re-ordering lists questions) </t>
  </si>
  <si>
    <t xml:space="preserve"> The visual and interactive aspects of the system make things easier to understand than simply verbal instruction </t>
  </si>
  <si>
    <t xml:space="preserve"> ? </t>
  </si>
  <si>
    <t xml:space="preserve"> Occasionally I run into bugs</t>
  </si>
  <si>
    <t xml:space="preserve"> where if I took too many steps (or a different order) but my answer was correct. The system would reject my correct answer. Also the buttons were a little finicky </t>
  </si>
  <si>
    <t xml:space="preserve"> I liked the program and its intention</t>
  </si>
  <si>
    <t xml:space="preserve"> but it felt slightly clunky and there were a few bugs. I like the program</t>
  </si>
  <si>
    <t xml:space="preserve"> it has a lot of potential</t>
  </si>
  <si>
    <t xml:space="preserve"> but could be smoothed out maybe. If you were to make more of them for visual topics. I could definitely see myself and other people using them. </t>
  </si>
  <si>
    <t xml:space="preserve"> Simple usage </t>
  </si>
  <si>
    <t xml:space="preserve"> n/a </t>
  </si>
  <si>
    <t xml:space="preserve"> It told me they werent in alphabetical order but they totally were. </t>
  </si>
  <si>
    <t xml:space="preserve"> Easy to visualize how the concept works </t>
  </si>
  <si>
    <t xml:space="preserve"> Being able to discuss the questions and learn from them </t>
  </si>
  <si>
    <t xml:space="preserve"> Provide the undo button </t>
  </si>
  <si>
    <t xml:space="preserve"> The pop up window for messages is smaller so that it will not cover the commands. </t>
  </si>
  <si>
    <t xml:space="preserve"> It is not too complicated and quite easy to use. The connection between two partners working on a question is quite slow.  </t>
  </si>
  <si>
    <t xml:space="preserve"> it was simple to understand what to do </t>
  </si>
  <si>
    <t xml:space="preserve"> i tried but it was impossible it would not work  </t>
  </si>
  <si>
    <t xml:space="preserve"> it was very glitchy and i did the last 4 right a ton of times but no matter what it wouldnt accept it </t>
  </si>
  <si>
    <t xml:space="preserve"> make it work properly </t>
  </si>
  <si>
    <t xml:space="preserve"> it hardly worked </t>
  </si>
  <si>
    <t xml:space="preserve"> easy to use </t>
  </si>
  <si>
    <t xml:space="preserve"> not too sure </t>
  </si>
  <si>
    <t xml:space="preserve"> its fine as is </t>
  </si>
  <si>
    <t xml:space="preserve"> its fine as is  </t>
  </si>
  <si>
    <t xml:space="preserve"> It was easy </t>
  </si>
  <si>
    <t xml:space="preserve"> I tried using but it wouldn't work </t>
  </si>
  <si>
    <t xml:space="preserve"> remove the bugs</t>
  </si>
  <si>
    <t xml:space="preserve"> would enter in questions right but get them wrong and sometimes buttons didnt work </t>
  </si>
  <si>
    <t xml:space="preserve"> make it work </t>
  </si>
  <si>
    <t xml:space="preserve"> the fact that it is interactive helps people who don't understand the main idea comprehend it better. </t>
  </si>
  <si>
    <t xml:space="preserve"> the best part was that we can use the program for help from other users who are willing to help. </t>
  </si>
  <si>
    <t xml:space="preserve"> I think adding an undo button will do. </t>
  </si>
  <si>
    <t xml:space="preserve"> when the user goes to a question</t>
  </si>
  <si>
    <t xml:space="preserve"> the partner should instantly be with working with him. </t>
  </si>
  <si>
    <t xml:space="preserve"> I enjoyed working on it. It sort of reminds me of some games I play. </t>
  </si>
  <si>
    <t xml:space="preserve"> Visual presentation of the linked list. Nice being able to drag them around. </t>
  </si>
  <si>
    <t xml:space="preserve"> Make the hints actually useful. Some questions such as sort 1 and 2 can be solved using two temporary variables</t>
  </si>
  <si>
    <t xml:space="preserve"> but if you do it that way you still get it wrong and it isn't obvious why. Some questions don't match up with the nodes on the screen.  </t>
  </si>
  <si>
    <t xml:space="preserve"> Good stuff. Just needs some polish. </t>
  </si>
  <si>
    <t xml:space="preserve"> It gives a good visual representation of what i am doing when coding linked lists </t>
  </si>
  <si>
    <t xml:space="preserve"> Didn't have to figure it all out by myself </t>
  </si>
  <si>
    <t xml:space="preserve"> Doing it with a partner was extremely buggy and for the last few question I had to turn it off to make it possible to complete.  It worked well enough without the parter aspect.  Sometimes the tiles didnt have numbers when it said it should this was usually fixed by restarting that excersize. </t>
  </si>
  <si>
    <t xml:space="preserve"> The chat box was very buggy and often glitched out the question while using it.  I'm not sure if it was suposed to be where you both did the question editiing the same boxes but if it was there was a very high latency and was very buggy. </t>
  </si>
  <si>
    <t xml:space="preserve"> It was decent aside from the partner aspect of it and a few minor bugs that could be fixed by restarting that question.  Also i would sometimes get right answers even if i knew they were wrong on a small number of questions. </t>
  </si>
  <si>
    <t xml:space="preserve"> A good visual representation of linked lists. </t>
  </si>
  <si>
    <t xml:space="preserve"> N/A didn't use. </t>
  </si>
  <si>
    <t xml:space="preserve"> Sometimes the system would say I got a question wrong when I did it correctly. </t>
  </si>
  <si>
    <t xml:space="preserve"> Thanks. </t>
  </si>
  <si>
    <t xml:space="preserve"> Repetition. Ensures you know how to do each aspect of LinekdLists </t>
  </si>
  <si>
    <t xml:space="preserve"> It was a little buggy (adding arrows/removing)</t>
  </si>
  <si>
    <t xml:space="preserve"> but I didn't expect for it to be absolutely flawless. </t>
  </si>
  <si>
    <t xml:space="preserve"> Makes it easier to visualize </t>
  </si>
  <si>
    <t xml:space="preserve"> Being able to work out the problems with someone else who can see what is going on. </t>
  </si>
  <si>
    <t xml:space="preserve"> The chat between partners is clunky as it always drops down to bottom but doesnt keep refereshing correctly (hard to explain in words). When adding a temporary variable the system gets really messed. If need I can provide in more detail the issues I saw in the system. </t>
  </si>
  <si>
    <t xml:space="preserve"> The moving of nodes is messy and temporary variables are out of control. </t>
  </si>
  <si>
    <t xml:space="preserve"> Quite a few issues involved but too difficult to explain all of them in this questionnaire. </t>
  </si>
  <si>
    <t xml:space="preserve"> It's intuitive and very well structured. </t>
  </si>
  <si>
    <t xml:space="preserve"> It did not work well</t>
  </si>
  <si>
    <t xml:space="preserve"> for me</t>
  </si>
  <si>
    <t xml:space="preserve"> the server would glitch just as i was about to answers a question and move everything around. </t>
  </si>
  <si>
    <t xml:space="preserve"> The chat box should be in the left hand corner so as not to interfere with selection.  </t>
  </si>
  <si>
    <t xml:space="preserve"> The co-op is glitch y</t>
  </si>
  <si>
    <t xml:space="preserve"> requires improved multiplayer.  Chat box auto opens. This is the area where the flaws are most evident</t>
  </si>
  <si>
    <t xml:space="preserve"> in individual it works perfect</t>
  </si>
  <si>
    <t xml:space="preserve"> great work.   </t>
  </si>
  <si>
    <t xml:space="preserve"> This is good work</t>
  </si>
  <si>
    <t xml:space="preserve"> could use some improvement for functionality and user friendliness . I would like to use this site to preform logic then also practice coding tid-bits. Lastly</t>
  </si>
  <si>
    <t xml:space="preserve"> on occasion the right answer would not register or the \block\ commands did not have add/remove pointer. </t>
  </si>
  <si>
    <t xml:space="preserve"> It was easy.  </t>
  </si>
  <si>
    <t xml:space="preserve"> I didn't use them but I liked that little available partners thing. </t>
  </si>
  <si>
    <t xml:space="preserve"> The first reordering question was broken and would not let me move pointers. In a fit of frustration I just clicked submit and even though it was wrong it marked it as right? So there's that.  </t>
  </si>
  <si>
    <t xml:space="preserve"> It was easy but it was a little TOO easy almost mindlessly so.  </t>
  </si>
  <si>
    <t xml:space="preserve"> Visul aid </t>
  </si>
  <si>
    <t xml:space="preserve"> check algorithm</t>
  </si>
  <si>
    <t xml:space="preserve"> there were some errors </t>
  </si>
  <si>
    <t xml:space="preserve"> Movable nodes </t>
  </si>
  <si>
    <t xml:space="preserve"> the join questions part with the little chat box </t>
  </si>
  <si>
    <t xml:space="preserve"> improve collaborative part as sometimes it is very buggy </t>
  </si>
  <si>
    <t xml:space="preserve"> Good job on the system</t>
  </si>
  <si>
    <t xml:space="preserve"> with more tweaking it could be better though </t>
  </si>
  <si>
    <t xml:space="preserve"> It really helps to visualize what the linked list data structure is </t>
  </si>
  <si>
    <t xml:space="preserve"> being able to add more variables</t>
  </si>
  <si>
    <t xml:space="preserve"> while easy to do with the allotted ones</t>
  </si>
  <si>
    <t xml:space="preserve"> if you misclick</t>
  </si>
  <si>
    <t xml:space="preserve"> you need to restart </t>
  </si>
  <si>
    <t xml:space="preserve"> I understand what everything in this project does</t>
  </si>
  <si>
    <t xml:space="preserve"> I feel pointer could be better implemented as in \ connect this to this\ sometimes it's frustrating when you delete half the project by accident </t>
  </si>
  <si>
    <t xml:space="preserve"> the visual representation </t>
  </si>
  <si>
    <t xml:space="preserve"> I did not use any of the collaborative parts </t>
  </si>
  <si>
    <t xml:space="preserve"> At least 5 times I solved the problem correctly and the system rejected my solution. After trying the same solution for the third time</t>
  </si>
  <si>
    <t xml:space="preserve"> it finally accepted my solution </t>
  </si>
  <si>
    <t xml:space="preserve"> Did not use it. </t>
  </si>
  <si>
    <t xml:space="preserve"> You have two 25's in this questionnaire.  </t>
  </si>
  <si>
    <t xml:space="preserve"> simplicity </t>
  </si>
  <si>
    <t xml:space="preserve"> i did not </t>
  </si>
  <si>
    <t xml:space="preserve"> it crashed a few times</t>
  </si>
  <si>
    <t xml:space="preserve"> could be slightly more aesthetically pleasing. more diverse problems and other concepts </t>
  </si>
  <si>
    <t xml:space="preserve"> crashed a few times</t>
  </si>
  <si>
    <t xml:space="preserve"> i think i got a few right that it marked wrong</t>
  </si>
  <si>
    <t xml:space="preserve"> but overall good program.  </t>
  </si>
  <si>
    <t xml:space="preserve"> easy to move things around </t>
  </si>
  <si>
    <t xml:space="preserve"> some coding in there too maybe? </t>
  </si>
  <si>
    <t xml:space="preserve"> it was fun! </t>
  </si>
  <si>
    <t xml:space="preserve"> Diagram </t>
  </si>
  <si>
    <t xml:space="preserve"> team work </t>
  </si>
  <si>
    <t xml:space="preserve"> working on glitches </t>
  </si>
  <si>
    <t xml:space="preserve"> fixing chat bugs </t>
  </si>
  <si>
    <t xml:space="preserve"> The diagrams with the arrows actually helped improve my understanding quite a bit </t>
  </si>
  <si>
    <t xml:space="preserve"> I didn't collaborate :( </t>
  </si>
  <si>
    <t xml:space="preserve"> System's a little buggy</t>
  </si>
  <si>
    <t xml:space="preserve"> it froze a couple of times and wouldn't move arrows </t>
  </si>
  <si>
    <t xml:space="preserve"> Not sure! </t>
  </si>
  <si>
    <t xml:space="preserve"> Sometimes the clicks wouldn't register which would result in me getting a question wrong.  </t>
  </si>
  <si>
    <t xml:space="preserve"> Helps to see how linked lists work. </t>
  </si>
  <si>
    <t xml:space="preserve"> This was an interesting project to work on and test. </t>
  </si>
  <si>
    <t xml:space="preserve"> User interface is really well put together. </t>
  </si>
  <si>
    <t xml:space="preserve"> I tried to</t>
  </si>
  <si>
    <t xml:space="preserve"> but it didn't work. </t>
  </si>
  <si>
    <t xml:space="preserve"> Just some minor little issues</t>
  </si>
  <si>
    <t xml:space="preserve"> and the partner system didn't work for me. </t>
  </si>
  <si>
    <t xml:space="preserve"> Well done Matt! </t>
  </si>
  <si>
    <t xml:space="preserve"> The clear visual aspect </t>
  </si>
  <si>
    <t xml:space="preserve"> waited and waited but couldn't find partners that were available and online the same times I was. </t>
  </si>
  <si>
    <t xml:space="preserve"> I found that when I would click and tell it to move or add a arrow it would only work half the time </t>
  </si>
  <si>
    <t xml:space="preserve"> I enjoyed it but found that even though I had the nodes in the right order it would say that they weren't then I would repeat the exact same thing  and it would work after the 3rd or 4th time submitting. </t>
  </si>
  <si>
    <t xml:space="preserve"> Earn the bonus mark </t>
  </si>
  <si>
    <t xml:space="preserve"> two are better than one </t>
  </si>
  <si>
    <t xml:space="preserve"> the system is not stable and diagram will automatically move without my command even i dont have a partner. </t>
  </si>
  <si>
    <t xml:space="preserve"> when two people are working together </t>
  </si>
  <si>
    <t xml:space="preserve"> the diagram should not be moved together. </t>
  </si>
  <si>
    <t xml:space="preserve"> maybe more detailed explanations </t>
  </si>
  <si>
    <t xml:space="preserve"> visually showing how nodes work </t>
  </si>
  <si>
    <t xml:space="preserve"> less glitchy crap</t>
  </si>
  <si>
    <t xml:space="preserve"> both for the interactive diagrams and for the chat window </t>
  </si>
  <si>
    <t xml:space="preserve"> glitchy</t>
  </si>
  <si>
    <t xml:space="preserve"> but useful </t>
  </si>
  <si>
    <t xml:space="preserve"> Simple and easy to use</t>
  </si>
  <si>
    <t xml:space="preserve"> very straightforward and has a basic interface </t>
  </si>
  <si>
    <t xml:space="preserve"> I did not manage to collaborate</t>
  </si>
  <si>
    <t xml:space="preserve"> i onl know one person in this class and they already did work with someone else </t>
  </si>
  <si>
    <t xml:space="preserve"> I suggest just a tad bit more explaining may be necessary</t>
  </si>
  <si>
    <t xml:space="preserve"> it was a little confusing the first time i used it but i got the hang of it eventually </t>
  </si>
  <si>
    <t xml:space="preserve"> Didn't use the collaborative part of the system </t>
  </si>
  <si>
    <t xml:space="preserve"> It was definitely a useful experience</t>
  </si>
  <si>
    <t xml:space="preserve"> helped me better understand the implementation of linked lists</t>
  </si>
  <si>
    <t xml:space="preserve"> i am only fuzzy about the moving of nodes in a linked list </t>
  </si>
  <si>
    <t xml:space="preserve"> The end </t>
  </si>
  <si>
    <t xml:space="preserve"> Getting help when stuck </t>
  </si>
  <si>
    <t xml:space="preserve"> The nodes move around by themselves</t>
  </si>
  <si>
    <t xml:space="preserve"> even when both my partner and I are not touching the keyboard </t>
  </si>
  <si>
    <t xml:space="preserve"> Long delay between what my partner sees on the screen </t>
  </si>
  <si>
    <t xml:space="preserve"> I like data structures </t>
  </si>
  <si>
    <t xml:space="preserve"> It was relatively straightforward.  </t>
  </si>
  <si>
    <t xml:space="preserve"> Add more diversity into the problems</t>
  </si>
  <si>
    <t xml:space="preserve"> it got a bit repetitive.  </t>
  </si>
  <si>
    <t xml:space="preserve"> One of the adding problems talked about having 3 boxes at the end but there needed to be five and another adding one didn't accept my answer as correct the first time even though it was the same the second time. </t>
  </si>
  <si>
    <t xml:space="preserve"> ease of use </t>
  </si>
  <si>
    <t xml:space="preserve"> not sure what this is? </t>
  </si>
  <si>
    <t xml:space="preserve"> sometimes the arrows didnt cooperate </t>
  </si>
  <si>
    <t xml:space="preserve"> none </t>
  </si>
  <si>
    <t xml:space="preserve"> thanks </t>
  </si>
  <si>
    <t xml:space="preserve"> More clear instructions. </t>
  </si>
  <si>
    <t xml:space="preserve"> Colors </t>
  </si>
  <si>
    <t xml:space="preserve"> Instructions could be made in point form</t>
  </si>
  <si>
    <t xml:space="preserve"> video tutorial might work. Recommend users to clear cache or disable plugins/add-on on browser as troubleshooting. </t>
  </si>
  <si>
    <t xml:space="preserve"> Great experience</t>
  </si>
  <si>
    <t xml:space="preserve"> a little too easy. Sometimes the answer is right but wrong message appeared. </t>
  </si>
  <si>
    <t xml:space="preserve"> Minimalistic. </t>
  </si>
  <si>
    <t xml:space="preserve"> Correct answers sometimes don't work</t>
  </si>
  <si>
    <t xml:space="preserve"> but work the next try</t>
  </si>
  <si>
    <t xml:space="preserve"> like the last question of the first section. </t>
  </si>
  <si>
    <t xml:space="preserve"> The 2 I've left unanswered are never register the correct answer. </t>
  </si>
  <si>
    <t xml:space="preserve"> Even though I did not use it</t>
  </si>
  <si>
    <t xml:space="preserve"> the collaborative part of the system seemed the most intuative  </t>
  </si>
  <si>
    <t xml:space="preserve"> Did not use </t>
  </si>
  <si>
    <t xml:space="preserve"> Surves its purpose well as it currently is </t>
  </si>
  <si>
    <t xml:space="preserve"> Did not use but voice chat would be great </t>
  </si>
  <si>
    <t xml:space="preserve"> Question 4 in the Removing Nodes Section kept saying I got the wrong answer when done with the correct procedure </t>
  </si>
  <si>
    <t>Users who Collaborated</t>
  </si>
  <si>
    <t>Average Time Per Question</t>
  </si>
  <si>
    <t>Average Time per Question</t>
  </si>
  <si>
    <t>Individual</t>
  </si>
  <si>
    <t>Pvalue</t>
  </si>
  <si>
    <t>Attemtped</t>
  </si>
  <si>
    <t>Correct</t>
  </si>
  <si>
    <t>Incorrect</t>
  </si>
  <si>
    <t>I am comfortable with using linked lists:</t>
  </si>
  <si>
    <t>I am confident in my ability to write code to make linked lists:</t>
  </si>
  <si>
    <t>I am confident in my ability to insert into linked lists:</t>
  </si>
  <si>
    <t>I am confident in my ability to find a given node in a linked list:</t>
  </si>
  <si>
    <t>I am confident in my ability to delete from linked lists:</t>
  </si>
  <si>
    <t>I am confident in my ability to write code to insert into linked lists:</t>
  </si>
  <si>
    <t>I am confident in my ability to write code to find a given node in a linked lists:</t>
  </si>
  <si>
    <t>I am confident in my ability to write code to delete from linked lists:</t>
  </si>
  <si>
    <t>It is easy for me to see the connection between the diagrams for lists and the code for them.</t>
  </si>
  <si>
    <t>Drawing list operations helps me understand them better.</t>
  </si>
  <si>
    <t>Drawing list operations in the previous questions helped me understand them better.</t>
  </si>
  <si>
    <t>These types of linked list problems seem easier now that I’ve used the system.</t>
  </si>
  <si>
    <t>Using the system has increased my confidence in my ability to solve these problems.</t>
  </si>
  <si>
    <t>When I first used the system, it was easy to learn it and figure out how to use it.</t>
  </si>
  <si>
    <t>I found the system very easy to use.</t>
  </si>
  <si>
    <t>I found the system fun to use.</t>
  </si>
  <si>
    <t>I would use the system to help study for Computer Science.</t>
  </si>
  <si>
    <t>If the system had exercises for other subjects (e.g., Math), I would use it for them too.</t>
  </si>
  <si>
    <t>I would recommend it to my friends to use the system.</t>
  </si>
  <si>
    <t>I found the collaborative parts of the system helpful.</t>
  </si>
  <si>
    <t>Check each question and overall for significance</t>
  </si>
  <si>
    <t>Redundant</t>
  </si>
  <si>
    <t>Take answers from only collaborators</t>
  </si>
  <si>
    <t>Present average of these as "usability average"</t>
  </si>
  <si>
    <t>Put n in the chrat title</t>
  </si>
  <si>
    <t>Collaborative</t>
  </si>
  <si>
    <t>Average per Question Number</t>
  </si>
  <si>
    <t>Average per Exercise Attempted</t>
  </si>
  <si>
    <t>Comfort</t>
  </si>
  <si>
    <t>Code for lists</t>
  </si>
  <si>
    <t>Insert</t>
  </si>
  <si>
    <t>Find</t>
  </si>
  <si>
    <t>Delete</t>
  </si>
  <si>
    <t>Diagram Helps</t>
  </si>
  <si>
    <t>Code for Insert</t>
  </si>
  <si>
    <t>Code for Find</t>
  </si>
  <si>
    <t>Code for Delete</t>
  </si>
  <si>
    <t>Diagram Connection</t>
  </si>
  <si>
    <t>Easy to learn</t>
  </si>
  <si>
    <t>Easy to use</t>
  </si>
  <si>
    <t>Fun to use</t>
  </si>
  <si>
    <t>Would use for CS</t>
  </si>
  <si>
    <t>Would use for other</t>
  </si>
  <si>
    <t>Recommend to a friend</t>
  </si>
  <si>
    <t>Attempt</t>
  </si>
  <si>
    <t>Correct Attempt</t>
  </si>
  <si>
    <t>Incorrect Attempt</t>
  </si>
  <si>
    <t>Both</t>
  </si>
  <si>
    <t>Collab</t>
  </si>
  <si>
    <t>Ind</t>
  </si>
  <si>
    <t>Both Post</t>
  </si>
  <si>
    <t>Collab Post</t>
  </si>
  <si>
    <t>Ind Post</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</si>
</sst>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strike/>
      <sz val="12"/>
      <color theme="1"/>
      <name val="Calibri"/>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medium">
        <color auto="1"/>
      </bottom>
      <diagonal/>
    </border>
  </borders>
  <cellStyleXfs count="52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8">
    <xf numFmtId="0" fontId="0" fillId="0" borderId="0" xfId="0"/>
    <xf numFmtId="0" fontId="0" fillId="0" borderId="0" xfId="0" applyFont="1"/>
    <xf numFmtId="0" fontId="3" fillId="0" borderId="0" xfId="0" applyFont="1"/>
    <xf numFmtId="0" fontId="4" fillId="0" borderId="0" xfId="0" applyFont="1"/>
    <xf numFmtId="0" fontId="0" fillId="0" borderId="1" xfId="0" applyFill="1" applyBorder="1" applyAlignment="1"/>
    <xf numFmtId="0" fontId="0" fillId="0" borderId="0" xfId="0" applyAlignment="1"/>
    <xf numFmtId="0" fontId="0" fillId="0" borderId="0" xfId="0" applyAlignment="1"/>
    <xf numFmtId="0" fontId="0" fillId="2" borderId="0" xfId="0" applyFill="1"/>
  </cellXfs>
  <cellStyles count="52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 Id="rId1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tx>
            <c:strRef>
              <c:f>PostQuestionnaire.csv!$B$64</c:f>
              <c:strCache>
                <c:ptCount val="1"/>
                <c:pt idx="0">
                  <c:v>Both</c:v>
                </c:pt>
              </c:strCache>
            </c:strRef>
          </c:tx>
          <c:invertIfNegative val="0"/>
          <c:val>
            <c:numRef>
              <c:f>PostQuestionnaire.csv!$C$64:$L$64</c:f>
              <c:numCache>
                <c:formatCode>General</c:formatCode>
                <c:ptCount val="10"/>
                <c:pt idx="0">
                  <c:v>3.301886792</c:v>
                </c:pt>
                <c:pt idx="1">
                  <c:v>3.20754717</c:v>
                </c:pt>
                <c:pt idx="2">
                  <c:v>3.384615385</c:v>
                </c:pt>
                <c:pt idx="3">
                  <c:v>3.150943396</c:v>
                </c:pt>
                <c:pt idx="4">
                  <c:v>3.41509434</c:v>
                </c:pt>
                <c:pt idx="5">
                  <c:v>3.226415094</c:v>
                </c:pt>
                <c:pt idx="6">
                  <c:v>3.153846154</c:v>
                </c:pt>
                <c:pt idx="7">
                  <c:v>3.245283019</c:v>
                </c:pt>
                <c:pt idx="8">
                  <c:v>3.339622642</c:v>
                </c:pt>
                <c:pt idx="9">
                  <c:v>3.547169811</c:v>
                </c:pt>
              </c:numCache>
            </c:numRef>
          </c:val>
        </c:ser>
        <c:ser>
          <c:idx val="1"/>
          <c:order val="1"/>
          <c:tx>
            <c:strRef>
              <c:f>PostQuestionnaire.csv!$B$67</c:f>
              <c:strCache>
                <c:ptCount val="1"/>
                <c:pt idx="0">
                  <c:v>Both Post</c:v>
                </c:pt>
              </c:strCache>
            </c:strRef>
          </c:tx>
          <c:invertIfNegative val="0"/>
          <c:val>
            <c:numRef>
              <c:f>PostQuestionnaire.csv!$C$67:$L$67</c:f>
              <c:numCache>
                <c:formatCode>General</c:formatCode>
                <c:ptCount val="10"/>
                <c:pt idx="0">
                  <c:v>4.0</c:v>
                </c:pt>
                <c:pt idx="1">
                  <c:v>3.698113208</c:v>
                </c:pt>
                <c:pt idx="2">
                  <c:v>4.094339623</c:v>
                </c:pt>
                <c:pt idx="3">
                  <c:v>3.923076923</c:v>
                </c:pt>
                <c:pt idx="4">
                  <c:v>4.075471698</c:v>
                </c:pt>
                <c:pt idx="5">
                  <c:v>3.716981132</c:v>
                </c:pt>
                <c:pt idx="6">
                  <c:v>3.641509434</c:v>
                </c:pt>
                <c:pt idx="7">
                  <c:v>3.653846154</c:v>
                </c:pt>
                <c:pt idx="8">
                  <c:v>4.0</c:v>
                </c:pt>
                <c:pt idx="9">
                  <c:v>3.905660377</c:v>
                </c:pt>
              </c:numCache>
            </c:numRef>
          </c:val>
        </c:ser>
        <c:dLbls>
          <c:showLegendKey val="0"/>
          <c:showVal val="0"/>
          <c:showCatName val="0"/>
          <c:showSerName val="0"/>
          <c:showPercent val="0"/>
          <c:showBubbleSize val="0"/>
        </c:dLbls>
        <c:gapWidth val="150"/>
        <c:axId val="-2121660600"/>
        <c:axId val="-2092896696"/>
      </c:barChart>
      <c:catAx>
        <c:axId val="-2121660600"/>
        <c:scaling>
          <c:orientation val="minMax"/>
        </c:scaling>
        <c:delete val="0"/>
        <c:axPos val="b"/>
        <c:majorTickMark val="out"/>
        <c:minorTickMark val="none"/>
        <c:tickLblPos val="nextTo"/>
        <c:crossAx val="-2092896696"/>
        <c:crosses val="autoZero"/>
        <c:auto val="1"/>
        <c:lblAlgn val="ctr"/>
        <c:lblOffset val="100"/>
        <c:noMultiLvlLbl val="0"/>
      </c:catAx>
      <c:valAx>
        <c:axId val="-2092896696"/>
        <c:scaling>
          <c:orientation val="minMax"/>
        </c:scaling>
        <c:delete val="0"/>
        <c:axPos val="l"/>
        <c:majorGridlines/>
        <c:numFmt formatCode="General" sourceLinked="1"/>
        <c:majorTickMark val="out"/>
        <c:minorTickMark val="none"/>
        <c:tickLblPos val="nextTo"/>
        <c:crossAx val="-2121660600"/>
        <c:crosses val="autoZero"/>
        <c:crossBetween val="between"/>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tx>
            <c:strRef>
              <c:f>PostQuestionnaire.csv!$B$65</c:f>
              <c:strCache>
                <c:ptCount val="1"/>
                <c:pt idx="0">
                  <c:v>Collab</c:v>
                </c:pt>
              </c:strCache>
            </c:strRef>
          </c:tx>
          <c:invertIfNegative val="0"/>
          <c:val>
            <c:numRef>
              <c:f>PostQuestionnaire.csv!$C$65:$L$65</c:f>
              <c:numCache>
                <c:formatCode>General</c:formatCode>
                <c:ptCount val="10"/>
                <c:pt idx="0">
                  <c:v>3.0</c:v>
                </c:pt>
                <c:pt idx="1">
                  <c:v>2.857142857</c:v>
                </c:pt>
                <c:pt idx="2">
                  <c:v>3.142857143</c:v>
                </c:pt>
                <c:pt idx="3">
                  <c:v>2.928571429</c:v>
                </c:pt>
                <c:pt idx="4">
                  <c:v>3.142857143</c:v>
                </c:pt>
                <c:pt idx="5">
                  <c:v>2.928571429</c:v>
                </c:pt>
                <c:pt idx="6">
                  <c:v>3.0</c:v>
                </c:pt>
                <c:pt idx="7">
                  <c:v>3.071428571</c:v>
                </c:pt>
                <c:pt idx="8">
                  <c:v>3.071428571</c:v>
                </c:pt>
                <c:pt idx="9">
                  <c:v>3.428571429</c:v>
                </c:pt>
              </c:numCache>
            </c:numRef>
          </c:val>
        </c:ser>
        <c:ser>
          <c:idx val="1"/>
          <c:order val="1"/>
          <c:tx>
            <c:strRef>
              <c:f>PostQuestionnaire.csv!$B$68</c:f>
              <c:strCache>
                <c:ptCount val="1"/>
                <c:pt idx="0">
                  <c:v>Collab Post</c:v>
                </c:pt>
              </c:strCache>
            </c:strRef>
          </c:tx>
          <c:invertIfNegative val="0"/>
          <c:val>
            <c:numRef>
              <c:f>PostQuestionnaire.csv!$C$68:$L$68</c:f>
              <c:numCache>
                <c:formatCode>General</c:formatCode>
                <c:ptCount val="10"/>
                <c:pt idx="0">
                  <c:v>4.071428571</c:v>
                </c:pt>
                <c:pt idx="1">
                  <c:v>3.857142857</c:v>
                </c:pt>
                <c:pt idx="2">
                  <c:v>4.071428571</c:v>
                </c:pt>
                <c:pt idx="3">
                  <c:v>4.0</c:v>
                </c:pt>
                <c:pt idx="4">
                  <c:v>4.0</c:v>
                </c:pt>
                <c:pt idx="5">
                  <c:v>3.928571429</c:v>
                </c:pt>
                <c:pt idx="6">
                  <c:v>3.857142857</c:v>
                </c:pt>
                <c:pt idx="7">
                  <c:v>3.846153846</c:v>
                </c:pt>
                <c:pt idx="8">
                  <c:v>4.142857143</c:v>
                </c:pt>
                <c:pt idx="9">
                  <c:v>3.5</c:v>
                </c:pt>
              </c:numCache>
            </c:numRef>
          </c:val>
        </c:ser>
        <c:dLbls>
          <c:showLegendKey val="0"/>
          <c:showVal val="0"/>
          <c:showCatName val="0"/>
          <c:showSerName val="0"/>
          <c:showPercent val="0"/>
          <c:showBubbleSize val="0"/>
        </c:dLbls>
        <c:gapWidth val="150"/>
        <c:axId val="-2093309704"/>
        <c:axId val="-2075910264"/>
      </c:barChart>
      <c:catAx>
        <c:axId val="-2093309704"/>
        <c:scaling>
          <c:orientation val="minMax"/>
        </c:scaling>
        <c:delete val="0"/>
        <c:axPos val="b"/>
        <c:majorTickMark val="out"/>
        <c:minorTickMark val="none"/>
        <c:tickLblPos val="nextTo"/>
        <c:crossAx val="-2075910264"/>
        <c:crosses val="autoZero"/>
        <c:auto val="1"/>
        <c:lblAlgn val="ctr"/>
        <c:lblOffset val="100"/>
        <c:noMultiLvlLbl val="0"/>
      </c:catAx>
      <c:valAx>
        <c:axId val="-2075910264"/>
        <c:scaling>
          <c:orientation val="minMax"/>
        </c:scaling>
        <c:delete val="0"/>
        <c:axPos val="l"/>
        <c:majorGridlines/>
        <c:numFmt formatCode="General" sourceLinked="1"/>
        <c:majorTickMark val="out"/>
        <c:minorTickMark val="none"/>
        <c:tickLblPos val="nextTo"/>
        <c:crossAx val="-2093309704"/>
        <c:crosses val="autoZero"/>
        <c:crossBetween val="between"/>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tx>
            <c:strRef>
              <c:f>PostQuestionnaire.csv!$B$66</c:f>
              <c:strCache>
                <c:ptCount val="1"/>
                <c:pt idx="0">
                  <c:v>Ind</c:v>
                </c:pt>
              </c:strCache>
            </c:strRef>
          </c:tx>
          <c:invertIfNegative val="0"/>
          <c:val>
            <c:numRef>
              <c:f>PostQuestionnaire.csv!$C$66:$L$66</c:f>
              <c:numCache>
                <c:formatCode>General</c:formatCode>
                <c:ptCount val="10"/>
                <c:pt idx="0">
                  <c:v>3.41025641</c:v>
                </c:pt>
                <c:pt idx="1">
                  <c:v>3.333333333</c:v>
                </c:pt>
                <c:pt idx="2">
                  <c:v>3.473684211</c:v>
                </c:pt>
                <c:pt idx="3">
                  <c:v>3.230769231</c:v>
                </c:pt>
                <c:pt idx="4">
                  <c:v>3.512820513</c:v>
                </c:pt>
                <c:pt idx="5">
                  <c:v>3.333333333</c:v>
                </c:pt>
                <c:pt idx="6">
                  <c:v>3.205128205</c:v>
                </c:pt>
                <c:pt idx="7">
                  <c:v>3.307692308</c:v>
                </c:pt>
                <c:pt idx="8">
                  <c:v>3.435897436</c:v>
                </c:pt>
                <c:pt idx="9">
                  <c:v>3.58974359</c:v>
                </c:pt>
              </c:numCache>
            </c:numRef>
          </c:val>
        </c:ser>
        <c:ser>
          <c:idx val="1"/>
          <c:order val="1"/>
          <c:tx>
            <c:strRef>
              <c:f>PostQuestionnaire.csv!$B$69</c:f>
              <c:strCache>
                <c:ptCount val="1"/>
                <c:pt idx="0">
                  <c:v>Ind Post</c:v>
                </c:pt>
              </c:strCache>
            </c:strRef>
          </c:tx>
          <c:invertIfNegative val="0"/>
          <c:val>
            <c:numRef>
              <c:f>PostQuestionnaire.csv!$C$69:$L$69</c:f>
              <c:numCache>
                <c:formatCode>General</c:formatCode>
                <c:ptCount val="10"/>
                <c:pt idx="0">
                  <c:v>3.974358974</c:v>
                </c:pt>
                <c:pt idx="1">
                  <c:v>3.641025641</c:v>
                </c:pt>
                <c:pt idx="2">
                  <c:v>4.102564103</c:v>
                </c:pt>
                <c:pt idx="3">
                  <c:v>3.894736842</c:v>
                </c:pt>
                <c:pt idx="4">
                  <c:v>4.102564103</c:v>
                </c:pt>
                <c:pt idx="5">
                  <c:v>3.641025641</c:v>
                </c:pt>
                <c:pt idx="6">
                  <c:v>3.564102564</c:v>
                </c:pt>
                <c:pt idx="7">
                  <c:v>3.58974359</c:v>
                </c:pt>
                <c:pt idx="8">
                  <c:v>3.944444444</c:v>
                </c:pt>
                <c:pt idx="9">
                  <c:v>4.051282051</c:v>
                </c:pt>
              </c:numCache>
            </c:numRef>
          </c:val>
        </c:ser>
        <c:dLbls>
          <c:showLegendKey val="0"/>
          <c:showVal val="0"/>
          <c:showCatName val="0"/>
          <c:showSerName val="0"/>
          <c:showPercent val="0"/>
          <c:showBubbleSize val="0"/>
        </c:dLbls>
        <c:gapWidth val="150"/>
        <c:axId val="-2132594392"/>
        <c:axId val="-2075984680"/>
      </c:barChart>
      <c:catAx>
        <c:axId val="-2132594392"/>
        <c:scaling>
          <c:orientation val="minMax"/>
        </c:scaling>
        <c:delete val="0"/>
        <c:axPos val="b"/>
        <c:majorTickMark val="out"/>
        <c:minorTickMark val="none"/>
        <c:tickLblPos val="nextTo"/>
        <c:crossAx val="-2075984680"/>
        <c:crosses val="autoZero"/>
        <c:auto val="1"/>
        <c:lblAlgn val="ctr"/>
        <c:lblOffset val="100"/>
        <c:noMultiLvlLbl val="0"/>
      </c:catAx>
      <c:valAx>
        <c:axId val="-2075984680"/>
        <c:scaling>
          <c:orientation val="minMax"/>
        </c:scaling>
        <c:delete val="0"/>
        <c:axPos val="l"/>
        <c:majorGridlines/>
        <c:numFmt formatCode="General" sourceLinked="1"/>
        <c:majorTickMark val="out"/>
        <c:minorTickMark val="none"/>
        <c:tickLblPos val="nextTo"/>
        <c:crossAx val="-2132594392"/>
        <c:crosses val="autoZero"/>
        <c:crossBetween val="between"/>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b="0"/>
              <a:t>Time Per</a:t>
            </a:r>
            <a:r>
              <a:rPr lang="en-US" sz="2000" b="0" baseline="0"/>
              <a:t> Attempt</a:t>
            </a:r>
            <a:endParaRPr lang="en-US" sz="2000" b="0"/>
          </a:p>
        </c:rich>
      </c:tx>
      <c:layout/>
      <c:overlay val="0"/>
    </c:title>
    <c:autoTitleDeleted val="0"/>
    <c:plotArea>
      <c:layout/>
      <c:barChart>
        <c:barDir val="col"/>
        <c:grouping val="clustered"/>
        <c:varyColors val="0"/>
        <c:ser>
          <c:idx val="0"/>
          <c:order val="0"/>
          <c:tx>
            <c:strRef>
              <c:f>'Average time collab'!$B$56</c:f>
              <c:strCache>
                <c:ptCount val="1"/>
                <c:pt idx="0">
                  <c:v>Collaborative</c:v>
                </c:pt>
              </c:strCache>
            </c:strRef>
          </c:tx>
          <c:invertIfNegative val="0"/>
          <c:cat>
            <c:strRef>
              <c:f>'Average time collab'!$C$55:$E$55</c:f>
              <c:strCache>
                <c:ptCount val="3"/>
                <c:pt idx="0">
                  <c:v>Attempt</c:v>
                </c:pt>
                <c:pt idx="1">
                  <c:v>Correct Attempt</c:v>
                </c:pt>
                <c:pt idx="2">
                  <c:v>Incorrect Attempt</c:v>
                </c:pt>
              </c:strCache>
            </c:strRef>
          </c:cat>
          <c:val>
            <c:numRef>
              <c:f>'Average time collab'!$C$56:$E$56</c:f>
              <c:numCache>
                <c:formatCode>General</c:formatCode>
                <c:ptCount val="3"/>
                <c:pt idx="0">
                  <c:v>60.00997185</c:v>
                </c:pt>
                <c:pt idx="1">
                  <c:v>59.94801749</c:v>
                </c:pt>
                <c:pt idx="2">
                  <c:v>85.39635416999999</c:v>
                </c:pt>
              </c:numCache>
            </c:numRef>
          </c:val>
        </c:ser>
        <c:ser>
          <c:idx val="1"/>
          <c:order val="1"/>
          <c:tx>
            <c:strRef>
              <c:f>'Average time collab'!$B$57</c:f>
              <c:strCache>
                <c:ptCount val="1"/>
                <c:pt idx="0">
                  <c:v>Individual</c:v>
                </c:pt>
              </c:strCache>
            </c:strRef>
          </c:tx>
          <c:invertIfNegative val="0"/>
          <c:cat>
            <c:strRef>
              <c:f>'Average time collab'!$C$55:$E$55</c:f>
              <c:strCache>
                <c:ptCount val="3"/>
                <c:pt idx="0">
                  <c:v>Attempt</c:v>
                </c:pt>
                <c:pt idx="1">
                  <c:v>Correct Attempt</c:v>
                </c:pt>
                <c:pt idx="2">
                  <c:v>Incorrect Attempt</c:v>
                </c:pt>
              </c:strCache>
            </c:strRef>
          </c:cat>
          <c:val>
            <c:numRef>
              <c:f>'Average time collab'!$C$57:$E$57</c:f>
              <c:numCache>
                <c:formatCode>General</c:formatCode>
                <c:ptCount val="3"/>
                <c:pt idx="0">
                  <c:v>51.48666219</c:v>
                </c:pt>
                <c:pt idx="1">
                  <c:v>35.70302052</c:v>
                </c:pt>
                <c:pt idx="2">
                  <c:v>79.38418136999999</c:v>
                </c:pt>
              </c:numCache>
            </c:numRef>
          </c:val>
        </c:ser>
        <c:dLbls>
          <c:showLegendKey val="0"/>
          <c:showVal val="0"/>
          <c:showCatName val="0"/>
          <c:showSerName val="0"/>
          <c:showPercent val="0"/>
          <c:showBubbleSize val="0"/>
        </c:dLbls>
        <c:gapWidth val="150"/>
        <c:axId val="-2131806744"/>
        <c:axId val="-2142116744"/>
      </c:barChart>
      <c:catAx>
        <c:axId val="-2131806744"/>
        <c:scaling>
          <c:orientation val="minMax"/>
        </c:scaling>
        <c:delete val="0"/>
        <c:axPos val="b"/>
        <c:majorTickMark val="out"/>
        <c:minorTickMark val="none"/>
        <c:tickLblPos val="nextTo"/>
        <c:txPr>
          <a:bodyPr/>
          <a:lstStyle/>
          <a:p>
            <a:pPr>
              <a:defRPr sz="1400"/>
            </a:pPr>
            <a:endParaRPr lang="en-US"/>
          </a:p>
        </c:txPr>
        <c:crossAx val="-2142116744"/>
        <c:crosses val="autoZero"/>
        <c:auto val="1"/>
        <c:lblAlgn val="ctr"/>
        <c:lblOffset val="100"/>
        <c:noMultiLvlLbl val="0"/>
      </c:catAx>
      <c:valAx>
        <c:axId val="-2142116744"/>
        <c:scaling>
          <c:orientation val="minMax"/>
        </c:scaling>
        <c:delete val="0"/>
        <c:axPos val="l"/>
        <c:majorGridlines/>
        <c:title>
          <c:tx>
            <c:rich>
              <a:bodyPr rot="-5400000" vert="horz"/>
              <a:lstStyle/>
              <a:p>
                <a:pPr>
                  <a:defRPr/>
                </a:pPr>
                <a:r>
                  <a:rPr lang="en-US" sz="1400" b="0"/>
                  <a:t>Time (s)</a:t>
                </a:r>
              </a:p>
            </c:rich>
          </c:tx>
          <c:layout/>
          <c:overlay val="0"/>
        </c:title>
        <c:numFmt formatCode="General" sourceLinked="1"/>
        <c:majorTickMark val="out"/>
        <c:minorTickMark val="none"/>
        <c:tickLblPos val="nextTo"/>
        <c:crossAx val="-2131806744"/>
        <c:crosses val="autoZero"/>
        <c:crossBetween val="between"/>
      </c:valAx>
    </c:plotArea>
    <c:legend>
      <c:legendPos val="r"/>
      <c:layout/>
      <c:overlay val="0"/>
      <c:txPr>
        <a:bodyPr/>
        <a:lstStyle/>
        <a:p>
          <a:pPr>
            <a:defRPr sz="1400"/>
          </a:pPr>
          <a:endParaRPr lang="en-US"/>
        </a:p>
      </c:txPr>
    </c:legend>
    <c:plotVisOnly val="1"/>
    <c:dispBlanksAs val="gap"/>
    <c:showDLblsOverMax val="0"/>
  </c:chart>
  <c:printSettings>
    <c:headerFooter/>
    <c:pageMargins b="1.0" l="0.75" r="0.75" t="1.0"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scatterChart>
        <c:scatterStyle val="lineMarker"/>
        <c:varyColors val="0"/>
        <c:ser>
          <c:idx val="0"/>
          <c:order val="0"/>
          <c:spPr>
            <a:ln w="47625">
              <a:noFill/>
            </a:ln>
          </c:spPr>
          <c:yVal>
            <c:numRef>
              <c:f>'Average Time'!$B$54:$S$54</c:f>
              <c:numCache>
                <c:formatCode>General</c:formatCode>
                <c:ptCount val="18"/>
                <c:pt idx="0">
                  <c:v>111.1132075471698</c:v>
                </c:pt>
                <c:pt idx="1">
                  <c:v>43.96153846153846</c:v>
                </c:pt>
                <c:pt idx="2">
                  <c:v>44.42307692307692</c:v>
                </c:pt>
                <c:pt idx="3">
                  <c:v>69.19230769230769</c:v>
                </c:pt>
                <c:pt idx="4">
                  <c:v>163.8846153846154</c:v>
                </c:pt>
                <c:pt idx="5">
                  <c:v>48.94230769230769</c:v>
                </c:pt>
                <c:pt idx="6">
                  <c:v>40.09615384615384</c:v>
                </c:pt>
                <c:pt idx="7">
                  <c:v>38.05769230769231</c:v>
                </c:pt>
                <c:pt idx="8">
                  <c:v>33.65384615384615</c:v>
                </c:pt>
                <c:pt idx="9">
                  <c:v>30.84615384615385</c:v>
                </c:pt>
                <c:pt idx="10">
                  <c:v>26.38461538461538</c:v>
                </c:pt>
                <c:pt idx="11">
                  <c:v>27.61538461538462</c:v>
                </c:pt>
                <c:pt idx="12">
                  <c:v>66.80392156862744</c:v>
                </c:pt>
                <c:pt idx="13">
                  <c:v>35.13725490196079</c:v>
                </c:pt>
                <c:pt idx="14">
                  <c:v>31.23529411764706</c:v>
                </c:pt>
                <c:pt idx="15">
                  <c:v>37.43137254901961</c:v>
                </c:pt>
                <c:pt idx="16">
                  <c:v>32.94117647058823</c:v>
                </c:pt>
                <c:pt idx="17">
                  <c:v>45.04</c:v>
                </c:pt>
              </c:numCache>
            </c:numRef>
          </c:yVal>
          <c:smooth val="0"/>
        </c:ser>
        <c:dLbls>
          <c:showLegendKey val="0"/>
          <c:showVal val="0"/>
          <c:showCatName val="0"/>
          <c:showSerName val="0"/>
          <c:showPercent val="0"/>
          <c:showBubbleSize val="0"/>
        </c:dLbls>
        <c:axId val="-2142058792"/>
        <c:axId val="-2142055832"/>
      </c:scatterChart>
      <c:valAx>
        <c:axId val="-2142058792"/>
        <c:scaling>
          <c:orientation val="minMax"/>
        </c:scaling>
        <c:delete val="0"/>
        <c:axPos val="b"/>
        <c:majorTickMark val="out"/>
        <c:minorTickMark val="none"/>
        <c:tickLblPos val="nextTo"/>
        <c:crossAx val="-2142055832"/>
        <c:crosses val="autoZero"/>
        <c:crossBetween val="midCat"/>
      </c:valAx>
      <c:valAx>
        <c:axId val="-2142055832"/>
        <c:scaling>
          <c:orientation val="minMax"/>
        </c:scaling>
        <c:delete val="0"/>
        <c:axPos val="l"/>
        <c:majorGridlines/>
        <c:numFmt formatCode="General" sourceLinked="1"/>
        <c:majorTickMark val="out"/>
        <c:minorTickMark val="none"/>
        <c:tickLblPos val="nextTo"/>
        <c:crossAx val="-2142058792"/>
        <c:crosses val="autoZero"/>
        <c:crossBetween val="midCat"/>
      </c:valAx>
    </c:plotArea>
    <c:plotVisOnly val="1"/>
    <c:dispBlanksAs val="gap"/>
    <c:showDLblsOverMax val="0"/>
  </c:chart>
  <c:printSettings>
    <c:headerFooter/>
    <c:pageMargins b="1.0" l="0.75" r="0.75" t="1.0"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Time Spend</a:t>
            </a:r>
            <a:r>
              <a:rPr lang="en-US" baseline="0"/>
              <a:t> per Question While Collaborating</a:t>
            </a:r>
            <a:endParaRPr lang="en-US"/>
          </a:p>
        </c:rich>
      </c:tx>
      <c:layout/>
      <c:overlay val="0"/>
    </c:title>
    <c:autoTitleDeleted val="0"/>
    <c:plotArea>
      <c:layout/>
      <c:scatterChart>
        <c:scatterStyle val="lineMarker"/>
        <c:varyColors val="0"/>
        <c:ser>
          <c:idx val="1"/>
          <c:order val="1"/>
          <c:tx>
            <c:v>Attempted</c:v>
          </c:tx>
          <c:spPr>
            <a:ln w="47625">
              <a:noFill/>
            </a:ln>
          </c:spPr>
          <c:yVal>
            <c:numRef>
              <c:f>'Average Time Collab Correct'!$A$27:$A$42</c:f>
              <c:numCache>
                <c:formatCode>General</c:formatCode>
                <c:ptCount val="16"/>
                <c:pt idx="0">
                  <c:v>173.0625</c:v>
                </c:pt>
                <c:pt idx="1">
                  <c:v>90.0</c:v>
                </c:pt>
                <c:pt idx="2">
                  <c:v>56.06666666666667</c:v>
                </c:pt>
                <c:pt idx="3">
                  <c:v>45.57142857142857</c:v>
                </c:pt>
                <c:pt idx="4">
                  <c:v>77.64285714285714</c:v>
                </c:pt>
                <c:pt idx="5">
                  <c:v>69.07692307692308</c:v>
                </c:pt>
                <c:pt idx="6">
                  <c:v>24.25</c:v>
                </c:pt>
                <c:pt idx="7">
                  <c:v>20.41666666666667</c:v>
                </c:pt>
                <c:pt idx="8">
                  <c:v>24.16666666666667</c:v>
                </c:pt>
                <c:pt idx="9">
                  <c:v>15.91666666666667</c:v>
                </c:pt>
                <c:pt idx="10">
                  <c:v>15.33333333333333</c:v>
                </c:pt>
                <c:pt idx="11">
                  <c:v>30.66666666666667</c:v>
                </c:pt>
                <c:pt idx="12">
                  <c:v>39.91666666666666</c:v>
                </c:pt>
                <c:pt idx="13">
                  <c:v>33.58333333333334</c:v>
                </c:pt>
                <c:pt idx="14">
                  <c:v>33.83333333333334</c:v>
                </c:pt>
                <c:pt idx="15">
                  <c:v>27.0</c:v>
                </c:pt>
              </c:numCache>
            </c:numRef>
          </c:yVal>
          <c:smooth val="0"/>
        </c:ser>
        <c:ser>
          <c:idx val="2"/>
          <c:order val="2"/>
          <c:tx>
            <c:v>Incorrect</c:v>
          </c:tx>
          <c:spPr>
            <a:ln w="47625">
              <a:noFill/>
            </a:ln>
          </c:spPr>
          <c:yVal>
            <c:numRef>
              <c:f>'Average Time Collab Incorrect'!$A$25:$A$41</c:f>
              <c:numCache>
                <c:formatCode>General</c:formatCode>
                <c:ptCount val="17"/>
                <c:pt idx="0">
                  <c:v>82.91666666666667</c:v>
                </c:pt>
                <c:pt idx="1">
                  <c:v>67.25</c:v>
                </c:pt>
                <c:pt idx="2">
                  <c:v>148.0</c:v>
                </c:pt>
                <c:pt idx="3">
                  <c:v>89.0</c:v>
                </c:pt>
                <c:pt idx="4">
                  <c:v>72.2</c:v>
                </c:pt>
                <c:pt idx="5">
                  <c:v>92.375</c:v>
                </c:pt>
                <c:pt idx="6">
                  <c:v>61.5</c:v>
                </c:pt>
                <c:pt idx="7">
                  <c:v>124.3333333333333</c:v>
                </c:pt>
                <c:pt idx="8">
                  <c:v>70.2</c:v>
                </c:pt>
                <c:pt idx="9">
                  <c:v>71.2</c:v>
                </c:pt>
                <c:pt idx="10">
                  <c:v>30.2</c:v>
                </c:pt>
                <c:pt idx="11">
                  <c:v>84.0</c:v>
                </c:pt>
                <c:pt idx="12">
                  <c:v>51.5</c:v>
                </c:pt>
                <c:pt idx="13">
                  <c:v>110.6666666666667</c:v>
                </c:pt>
                <c:pt idx="15">
                  <c:v>139.0</c:v>
                </c:pt>
                <c:pt idx="16">
                  <c:v>72.0</c:v>
                </c:pt>
              </c:numCache>
            </c:numRef>
          </c:yVal>
          <c:smooth val="0"/>
        </c:ser>
        <c:ser>
          <c:idx val="0"/>
          <c:order val="0"/>
          <c:tx>
            <c:v>Correct</c:v>
          </c:tx>
          <c:spPr>
            <a:ln w="47625">
              <a:noFill/>
            </a:ln>
          </c:spPr>
          <c:yVal>
            <c:numRef>
              <c:f>'Average time collab'!$A$48:$A$64</c:f>
              <c:numCache>
                <c:formatCode>General</c:formatCode>
                <c:ptCount val="17"/>
                <c:pt idx="0">
                  <c:v>175.75</c:v>
                </c:pt>
                <c:pt idx="1">
                  <c:v>87.4</c:v>
                </c:pt>
                <c:pt idx="2">
                  <c:v>75.33333333333333</c:v>
                </c:pt>
                <c:pt idx="3">
                  <c:v>55.6</c:v>
                </c:pt>
                <c:pt idx="4">
                  <c:v>69.93333333333334</c:v>
                </c:pt>
                <c:pt idx="5">
                  <c:v>41.71428571428572</c:v>
                </c:pt>
                <c:pt idx="6">
                  <c:v>58.42857142857143</c:v>
                </c:pt>
                <c:pt idx="7">
                  <c:v>37.64285714285714</c:v>
                </c:pt>
                <c:pt idx="8">
                  <c:v>31.07142857142857</c:v>
                </c:pt>
                <c:pt idx="9">
                  <c:v>26.15384615384615</c:v>
                </c:pt>
                <c:pt idx="10">
                  <c:v>21.84615384615385</c:v>
                </c:pt>
                <c:pt idx="11">
                  <c:v>30.15384615384615</c:v>
                </c:pt>
                <c:pt idx="12">
                  <c:v>27.46153846153846</c:v>
                </c:pt>
                <c:pt idx="13">
                  <c:v>27.07692307692308</c:v>
                </c:pt>
                <c:pt idx="14">
                  <c:v>34.07692307692308</c:v>
                </c:pt>
                <c:pt idx="15">
                  <c:v>23.92307692307692</c:v>
                </c:pt>
                <c:pt idx="16">
                  <c:v>25.38461538461538</c:v>
                </c:pt>
              </c:numCache>
            </c:numRef>
          </c:yVal>
          <c:smooth val="0"/>
        </c:ser>
        <c:dLbls>
          <c:showLegendKey val="0"/>
          <c:showVal val="0"/>
          <c:showCatName val="0"/>
          <c:showSerName val="0"/>
          <c:showPercent val="0"/>
          <c:showBubbleSize val="0"/>
        </c:dLbls>
        <c:axId val="-2141852056"/>
        <c:axId val="-2141846504"/>
      </c:scatterChart>
      <c:valAx>
        <c:axId val="-2141852056"/>
        <c:scaling>
          <c:orientation val="minMax"/>
        </c:scaling>
        <c:delete val="0"/>
        <c:axPos val="b"/>
        <c:title>
          <c:tx>
            <c:rich>
              <a:bodyPr/>
              <a:lstStyle/>
              <a:p>
                <a:pPr>
                  <a:defRPr/>
                </a:pPr>
                <a:r>
                  <a:rPr lang="en-US"/>
                  <a:t>Question Attempted</a:t>
                </a:r>
              </a:p>
            </c:rich>
          </c:tx>
          <c:layout/>
          <c:overlay val="0"/>
        </c:title>
        <c:majorTickMark val="out"/>
        <c:minorTickMark val="none"/>
        <c:tickLblPos val="nextTo"/>
        <c:crossAx val="-2141846504"/>
        <c:crosses val="autoZero"/>
        <c:crossBetween val="midCat"/>
      </c:valAx>
      <c:valAx>
        <c:axId val="-2141846504"/>
        <c:scaling>
          <c:orientation val="minMax"/>
        </c:scaling>
        <c:delete val="0"/>
        <c:axPos val="l"/>
        <c:majorGridlines/>
        <c:title>
          <c:tx>
            <c:rich>
              <a:bodyPr rot="-5400000" vert="horz"/>
              <a:lstStyle/>
              <a:p>
                <a:pPr>
                  <a:defRPr/>
                </a:pPr>
                <a:r>
                  <a:rPr lang="en-US"/>
                  <a:t>Time(s)</a:t>
                </a:r>
              </a:p>
            </c:rich>
          </c:tx>
          <c:layout/>
          <c:overlay val="0"/>
        </c:title>
        <c:numFmt formatCode="General" sourceLinked="1"/>
        <c:majorTickMark val="out"/>
        <c:minorTickMark val="none"/>
        <c:tickLblPos val="nextTo"/>
        <c:crossAx val="-2141852056"/>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Time Spend</a:t>
            </a:r>
            <a:r>
              <a:rPr lang="en-US" baseline="0"/>
              <a:t> per Question Correct</a:t>
            </a:r>
          </a:p>
        </c:rich>
      </c:tx>
      <c:layout/>
      <c:overlay val="0"/>
    </c:title>
    <c:autoTitleDeleted val="0"/>
    <c:plotArea>
      <c:layout/>
      <c:scatterChart>
        <c:scatterStyle val="lineMarker"/>
        <c:varyColors val="0"/>
        <c:ser>
          <c:idx val="3"/>
          <c:order val="1"/>
          <c:tx>
            <c:v>Individual</c:v>
          </c:tx>
          <c:spPr>
            <a:ln w="47625">
              <a:noFill/>
            </a:ln>
          </c:spPr>
          <c:yVal>
            <c:numRef>
              <c:f>'Average Time Correct'!$A$31:$A$47</c:f>
              <c:numCache>
                <c:formatCode>General</c:formatCode>
                <c:ptCount val="17"/>
                <c:pt idx="0">
                  <c:v>109.5333333333333</c:v>
                </c:pt>
                <c:pt idx="1">
                  <c:v>63.47727272727273</c:v>
                </c:pt>
                <c:pt idx="2">
                  <c:v>41.5</c:v>
                </c:pt>
                <c:pt idx="3">
                  <c:v>56.47727272727273</c:v>
                </c:pt>
                <c:pt idx="4">
                  <c:v>63.90909090909091</c:v>
                </c:pt>
                <c:pt idx="5">
                  <c:v>21.97727272727273</c:v>
                </c:pt>
                <c:pt idx="6">
                  <c:v>21.34090909090909</c:v>
                </c:pt>
                <c:pt idx="7">
                  <c:v>17.18181818181818</c:v>
                </c:pt>
                <c:pt idx="8">
                  <c:v>18.20454545454545</c:v>
                </c:pt>
                <c:pt idx="9">
                  <c:v>21.29545454545455</c:v>
                </c:pt>
                <c:pt idx="10">
                  <c:v>19.38636363636364</c:v>
                </c:pt>
                <c:pt idx="11">
                  <c:v>17.54545454545455</c:v>
                </c:pt>
                <c:pt idx="12">
                  <c:v>30.54545454545455</c:v>
                </c:pt>
                <c:pt idx="13">
                  <c:v>24.22727272727273</c:v>
                </c:pt>
                <c:pt idx="14">
                  <c:v>21.72727272727273</c:v>
                </c:pt>
                <c:pt idx="15">
                  <c:v>16.93023255813954</c:v>
                </c:pt>
                <c:pt idx="16">
                  <c:v>34.41860465116279</c:v>
                </c:pt>
              </c:numCache>
            </c:numRef>
          </c:yVal>
          <c:smooth val="0"/>
        </c:ser>
        <c:ser>
          <c:idx val="0"/>
          <c:order val="0"/>
          <c:tx>
            <c:v>Collaborative</c:v>
          </c:tx>
          <c:spPr>
            <a:ln w="47625">
              <a:noFill/>
            </a:ln>
          </c:spPr>
          <c:yVal>
            <c:numRef>
              <c:f>'Average time collab'!$A$48:$A$64</c:f>
              <c:numCache>
                <c:formatCode>General</c:formatCode>
                <c:ptCount val="17"/>
                <c:pt idx="0">
                  <c:v>175.75</c:v>
                </c:pt>
                <c:pt idx="1">
                  <c:v>87.4</c:v>
                </c:pt>
                <c:pt idx="2">
                  <c:v>75.33333333333333</c:v>
                </c:pt>
                <c:pt idx="3">
                  <c:v>55.6</c:v>
                </c:pt>
                <c:pt idx="4">
                  <c:v>69.93333333333334</c:v>
                </c:pt>
                <c:pt idx="5">
                  <c:v>41.71428571428572</c:v>
                </c:pt>
                <c:pt idx="6">
                  <c:v>58.42857142857143</c:v>
                </c:pt>
                <c:pt idx="7">
                  <c:v>37.64285714285714</c:v>
                </c:pt>
                <c:pt idx="8">
                  <c:v>31.07142857142857</c:v>
                </c:pt>
                <c:pt idx="9">
                  <c:v>26.15384615384615</c:v>
                </c:pt>
                <c:pt idx="10">
                  <c:v>21.84615384615385</c:v>
                </c:pt>
                <c:pt idx="11">
                  <c:v>30.15384615384615</c:v>
                </c:pt>
                <c:pt idx="12">
                  <c:v>27.46153846153846</c:v>
                </c:pt>
                <c:pt idx="13">
                  <c:v>27.07692307692308</c:v>
                </c:pt>
                <c:pt idx="14">
                  <c:v>34.07692307692308</c:v>
                </c:pt>
                <c:pt idx="15">
                  <c:v>23.92307692307692</c:v>
                </c:pt>
                <c:pt idx="16">
                  <c:v>25.38461538461538</c:v>
                </c:pt>
              </c:numCache>
            </c:numRef>
          </c:yVal>
          <c:smooth val="0"/>
        </c:ser>
        <c:dLbls>
          <c:showLegendKey val="0"/>
          <c:showVal val="0"/>
          <c:showCatName val="0"/>
          <c:showSerName val="0"/>
          <c:showPercent val="0"/>
          <c:showBubbleSize val="0"/>
        </c:dLbls>
        <c:axId val="-2141990232"/>
        <c:axId val="-2142111160"/>
      </c:scatterChart>
      <c:valAx>
        <c:axId val="-2141990232"/>
        <c:scaling>
          <c:orientation val="minMax"/>
        </c:scaling>
        <c:delete val="0"/>
        <c:axPos val="b"/>
        <c:title>
          <c:tx>
            <c:rich>
              <a:bodyPr/>
              <a:lstStyle/>
              <a:p>
                <a:pPr>
                  <a:defRPr/>
                </a:pPr>
                <a:r>
                  <a:rPr lang="en-US"/>
                  <a:t>Question Attempted</a:t>
                </a:r>
              </a:p>
            </c:rich>
          </c:tx>
          <c:layout/>
          <c:overlay val="0"/>
        </c:title>
        <c:majorTickMark val="out"/>
        <c:minorTickMark val="none"/>
        <c:tickLblPos val="nextTo"/>
        <c:crossAx val="-2142111160"/>
        <c:crosses val="autoZero"/>
        <c:crossBetween val="midCat"/>
      </c:valAx>
      <c:valAx>
        <c:axId val="-2142111160"/>
        <c:scaling>
          <c:orientation val="minMax"/>
        </c:scaling>
        <c:delete val="0"/>
        <c:axPos val="l"/>
        <c:majorGridlines/>
        <c:title>
          <c:tx>
            <c:rich>
              <a:bodyPr rot="-5400000" vert="horz"/>
              <a:lstStyle/>
              <a:p>
                <a:pPr>
                  <a:defRPr/>
                </a:pPr>
                <a:r>
                  <a:rPr lang="en-US"/>
                  <a:t>Time(s)</a:t>
                </a:r>
              </a:p>
            </c:rich>
          </c:tx>
          <c:layout/>
          <c:overlay val="0"/>
        </c:title>
        <c:numFmt formatCode="General" sourceLinked="1"/>
        <c:majorTickMark val="out"/>
        <c:minorTickMark val="none"/>
        <c:tickLblPos val="nextTo"/>
        <c:crossAx val="-2141990232"/>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Time per Incorrect Question</a:t>
            </a:r>
            <a:r>
              <a:rPr lang="en-US" baseline="0"/>
              <a:t> While Collaborating</a:t>
            </a:r>
          </a:p>
        </c:rich>
      </c:tx>
      <c:layout/>
      <c:overlay val="0"/>
    </c:title>
    <c:autoTitleDeleted val="0"/>
    <c:plotArea>
      <c:layout/>
      <c:scatterChart>
        <c:scatterStyle val="lineMarker"/>
        <c:varyColors val="0"/>
        <c:ser>
          <c:idx val="0"/>
          <c:order val="0"/>
          <c:tx>
            <c:v>Incorrect Collab.</c:v>
          </c:tx>
          <c:spPr>
            <a:ln w="47625">
              <a:noFill/>
            </a:ln>
          </c:spPr>
          <c:yVal>
            <c:numRef>
              <c:f>'Average Time Collab Incorrect'!$A$25:$A$41</c:f>
              <c:numCache>
                <c:formatCode>General</c:formatCode>
                <c:ptCount val="17"/>
                <c:pt idx="0">
                  <c:v>82.91666666666667</c:v>
                </c:pt>
                <c:pt idx="1">
                  <c:v>67.25</c:v>
                </c:pt>
                <c:pt idx="2">
                  <c:v>148.0</c:v>
                </c:pt>
                <c:pt idx="3">
                  <c:v>89.0</c:v>
                </c:pt>
                <c:pt idx="4">
                  <c:v>72.2</c:v>
                </c:pt>
                <c:pt idx="5">
                  <c:v>92.375</c:v>
                </c:pt>
                <c:pt idx="6">
                  <c:v>61.5</c:v>
                </c:pt>
                <c:pt idx="7">
                  <c:v>124.3333333333333</c:v>
                </c:pt>
                <c:pt idx="8">
                  <c:v>70.2</c:v>
                </c:pt>
                <c:pt idx="9">
                  <c:v>71.2</c:v>
                </c:pt>
                <c:pt idx="10">
                  <c:v>30.2</c:v>
                </c:pt>
                <c:pt idx="11">
                  <c:v>84.0</c:v>
                </c:pt>
                <c:pt idx="12">
                  <c:v>51.5</c:v>
                </c:pt>
                <c:pt idx="13">
                  <c:v>110.6666666666667</c:v>
                </c:pt>
                <c:pt idx="15">
                  <c:v>139.0</c:v>
                </c:pt>
                <c:pt idx="16">
                  <c:v>72.0</c:v>
                </c:pt>
              </c:numCache>
            </c:numRef>
          </c:yVal>
          <c:smooth val="0"/>
        </c:ser>
        <c:dLbls>
          <c:showLegendKey val="0"/>
          <c:showVal val="0"/>
          <c:showCatName val="0"/>
          <c:showSerName val="0"/>
          <c:showPercent val="0"/>
          <c:showBubbleSize val="0"/>
        </c:dLbls>
        <c:axId val="-2141473864"/>
        <c:axId val="-2141468424"/>
      </c:scatterChart>
      <c:valAx>
        <c:axId val="-2141473864"/>
        <c:scaling>
          <c:orientation val="minMax"/>
        </c:scaling>
        <c:delete val="0"/>
        <c:axPos val="b"/>
        <c:title>
          <c:tx>
            <c:rich>
              <a:bodyPr/>
              <a:lstStyle/>
              <a:p>
                <a:pPr>
                  <a:defRPr/>
                </a:pPr>
                <a:r>
                  <a:rPr lang="en-US"/>
                  <a:t>Attempt Number</a:t>
                </a:r>
              </a:p>
            </c:rich>
          </c:tx>
          <c:layout/>
          <c:overlay val="0"/>
        </c:title>
        <c:majorTickMark val="out"/>
        <c:minorTickMark val="none"/>
        <c:tickLblPos val="nextTo"/>
        <c:crossAx val="-2141468424"/>
        <c:crosses val="autoZero"/>
        <c:crossBetween val="midCat"/>
      </c:valAx>
      <c:valAx>
        <c:axId val="-2141468424"/>
        <c:scaling>
          <c:orientation val="minMax"/>
        </c:scaling>
        <c:delete val="0"/>
        <c:axPos val="l"/>
        <c:majorGridlines/>
        <c:title>
          <c:tx>
            <c:rich>
              <a:bodyPr rot="-5400000" vert="horz"/>
              <a:lstStyle/>
              <a:p>
                <a:pPr>
                  <a:defRPr/>
                </a:pPr>
                <a:r>
                  <a:rPr lang="en-US"/>
                  <a:t>Time</a:t>
                </a:r>
                <a:r>
                  <a:rPr lang="en-US" baseline="0"/>
                  <a:t> (s)</a:t>
                </a:r>
              </a:p>
            </c:rich>
          </c:tx>
          <c:layout/>
          <c:overlay val="0"/>
        </c:title>
        <c:numFmt formatCode="General" sourceLinked="1"/>
        <c:majorTickMark val="out"/>
        <c:minorTickMark val="none"/>
        <c:tickLblPos val="nextTo"/>
        <c:crossAx val="-2141473864"/>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scatterChart>
        <c:scatterStyle val="lineMarker"/>
        <c:varyColors val="0"/>
        <c:ser>
          <c:idx val="1"/>
          <c:order val="1"/>
          <c:tx>
            <c:v>Individual</c:v>
          </c:tx>
          <c:spPr>
            <a:ln w="47625">
              <a:noFill/>
            </a:ln>
          </c:spPr>
          <c:yVal>
            <c:numRef>
              <c:f>'Average Time Incorrect'!$A$40:$A$56</c:f>
              <c:numCache>
                <c:formatCode>General</c:formatCode>
                <c:ptCount val="17"/>
                <c:pt idx="0">
                  <c:v>70.89583333333333</c:v>
                </c:pt>
                <c:pt idx="1">
                  <c:v>89.73913043478261</c:v>
                </c:pt>
                <c:pt idx="2">
                  <c:v>185.7826086956522</c:v>
                </c:pt>
                <c:pt idx="3">
                  <c:v>71.91304347826087</c:v>
                </c:pt>
                <c:pt idx="4">
                  <c:v>70.7906976744186</c:v>
                </c:pt>
                <c:pt idx="5">
                  <c:v>78.76923076923077</c:v>
                </c:pt>
                <c:pt idx="6">
                  <c:v>88.67647058823529</c:v>
                </c:pt>
                <c:pt idx="7">
                  <c:v>82.78125</c:v>
                </c:pt>
                <c:pt idx="8">
                  <c:v>80.06451612903225</c:v>
                </c:pt>
                <c:pt idx="9">
                  <c:v>96.1</c:v>
                </c:pt>
                <c:pt idx="10">
                  <c:v>71.88888888888889</c:v>
                </c:pt>
                <c:pt idx="11">
                  <c:v>72.11538461538461</c:v>
                </c:pt>
                <c:pt idx="12">
                  <c:v>71.54545454545455</c:v>
                </c:pt>
                <c:pt idx="13">
                  <c:v>80.0909090909091</c:v>
                </c:pt>
                <c:pt idx="14">
                  <c:v>51.61111111111111</c:v>
                </c:pt>
                <c:pt idx="15">
                  <c:v>53.58823529411764</c:v>
                </c:pt>
                <c:pt idx="16">
                  <c:v>54.25</c:v>
                </c:pt>
              </c:numCache>
            </c:numRef>
          </c:yVal>
          <c:smooth val="0"/>
        </c:ser>
        <c:ser>
          <c:idx val="0"/>
          <c:order val="0"/>
          <c:tx>
            <c:v>Collaborative</c:v>
          </c:tx>
          <c:spPr>
            <a:ln w="47625">
              <a:noFill/>
            </a:ln>
          </c:spPr>
          <c:yVal>
            <c:numRef>
              <c:f>'Average Time Collab Incorrect'!$A$25:$A$41</c:f>
              <c:numCache>
                <c:formatCode>General</c:formatCode>
                <c:ptCount val="17"/>
                <c:pt idx="0">
                  <c:v>82.91666666666667</c:v>
                </c:pt>
                <c:pt idx="1">
                  <c:v>67.25</c:v>
                </c:pt>
                <c:pt idx="2">
                  <c:v>148.0</c:v>
                </c:pt>
                <c:pt idx="3">
                  <c:v>89.0</c:v>
                </c:pt>
                <c:pt idx="4">
                  <c:v>72.2</c:v>
                </c:pt>
                <c:pt idx="5">
                  <c:v>92.375</c:v>
                </c:pt>
                <c:pt idx="6">
                  <c:v>61.5</c:v>
                </c:pt>
                <c:pt idx="7">
                  <c:v>124.3333333333333</c:v>
                </c:pt>
                <c:pt idx="8">
                  <c:v>70.2</c:v>
                </c:pt>
                <c:pt idx="9">
                  <c:v>71.2</c:v>
                </c:pt>
                <c:pt idx="10">
                  <c:v>30.2</c:v>
                </c:pt>
                <c:pt idx="11">
                  <c:v>84.0</c:v>
                </c:pt>
                <c:pt idx="12">
                  <c:v>51.5</c:v>
                </c:pt>
                <c:pt idx="13">
                  <c:v>110.6666666666667</c:v>
                </c:pt>
                <c:pt idx="15">
                  <c:v>139.0</c:v>
                </c:pt>
                <c:pt idx="16">
                  <c:v>72.0</c:v>
                </c:pt>
              </c:numCache>
            </c:numRef>
          </c:yVal>
          <c:smooth val="0"/>
        </c:ser>
        <c:dLbls>
          <c:showLegendKey val="0"/>
          <c:showVal val="0"/>
          <c:showCatName val="0"/>
          <c:showSerName val="0"/>
          <c:showPercent val="0"/>
          <c:showBubbleSize val="0"/>
        </c:dLbls>
        <c:axId val="-2141429384"/>
        <c:axId val="-2141426392"/>
      </c:scatterChart>
      <c:valAx>
        <c:axId val="-2141429384"/>
        <c:scaling>
          <c:orientation val="minMax"/>
        </c:scaling>
        <c:delete val="0"/>
        <c:axPos val="b"/>
        <c:majorTickMark val="out"/>
        <c:minorTickMark val="none"/>
        <c:tickLblPos val="nextTo"/>
        <c:crossAx val="-2141426392"/>
        <c:crosses val="autoZero"/>
        <c:crossBetween val="midCat"/>
      </c:valAx>
      <c:valAx>
        <c:axId val="-2141426392"/>
        <c:scaling>
          <c:orientation val="minMax"/>
        </c:scaling>
        <c:delete val="0"/>
        <c:axPos val="l"/>
        <c:majorGridlines/>
        <c:numFmt formatCode="General" sourceLinked="1"/>
        <c:majorTickMark val="out"/>
        <c:minorTickMark val="none"/>
        <c:tickLblPos val="nextTo"/>
        <c:crossAx val="-2141429384"/>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tx>
            <c:strRef>
              <c:f>'Errors per Question Collab'!$E$21</c:f>
              <c:strCache>
                <c:ptCount val="1"/>
                <c:pt idx="0">
                  <c:v>Collaborative</c:v>
                </c:pt>
              </c:strCache>
            </c:strRef>
          </c:tx>
          <c:invertIfNegative val="0"/>
          <c:cat>
            <c:strRef>
              <c:f>'Errors per Question Collab'!$F$20:$G$20</c:f>
              <c:strCache>
                <c:ptCount val="2"/>
                <c:pt idx="0">
                  <c:v>Average per Question Number</c:v>
                </c:pt>
                <c:pt idx="1">
                  <c:v>Average per Exercise Attempted</c:v>
                </c:pt>
              </c:strCache>
            </c:strRef>
          </c:cat>
          <c:val>
            <c:numRef>
              <c:f>'Errors per Question Collab'!$F$21:$G$21</c:f>
              <c:numCache>
                <c:formatCode>General</c:formatCode>
                <c:ptCount val="2"/>
                <c:pt idx="0">
                  <c:v>1.242900786082604</c:v>
                </c:pt>
                <c:pt idx="1">
                  <c:v>1.318697716</c:v>
                </c:pt>
              </c:numCache>
            </c:numRef>
          </c:val>
        </c:ser>
        <c:ser>
          <c:idx val="1"/>
          <c:order val="1"/>
          <c:tx>
            <c:strRef>
              <c:f>'Errors per Question Collab'!$E$22</c:f>
              <c:strCache>
                <c:ptCount val="1"/>
                <c:pt idx="0">
                  <c:v>Individual</c:v>
                </c:pt>
              </c:strCache>
            </c:strRef>
          </c:tx>
          <c:invertIfNegative val="0"/>
          <c:cat>
            <c:strRef>
              <c:f>'Errors per Question Collab'!$F$20:$G$20</c:f>
              <c:strCache>
                <c:ptCount val="2"/>
                <c:pt idx="0">
                  <c:v>Average per Question Number</c:v>
                </c:pt>
                <c:pt idx="1">
                  <c:v>Average per Exercise Attempted</c:v>
                </c:pt>
              </c:strCache>
            </c:strRef>
          </c:cat>
          <c:val>
            <c:numRef>
              <c:f>'Errors per Question Collab'!$F$22:$G$22</c:f>
              <c:numCache>
                <c:formatCode>General</c:formatCode>
                <c:ptCount val="2"/>
                <c:pt idx="0">
                  <c:v>1.524687412</c:v>
                </c:pt>
                <c:pt idx="1">
                  <c:v>1.551533405</c:v>
                </c:pt>
              </c:numCache>
            </c:numRef>
          </c:val>
        </c:ser>
        <c:dLbls>
          <c:showLegendKey val="0"/>
          <c:showVal val="0"/>
          <c:showCatName val="0"/>
          <c:showSerName val="0"/>
          <c:showPercent val="0"/>
          <c:showBubbleSize val="0"/>
        </c:dLbls>
        <c:gapWidth val="150"/>
        <c:axId val="-2103299064"/>
        <c:axId val="-2131818712"/>
      </c:barChart>
      <c:catAx>
        <c:axId val="-2103299064"/>
        <c:scaling>
          <c:orientation val="minMax"/>
        </c:scaling>
        <c:delete val="0"/>
        <c:axPos val="b"/>
        <c:majorTickMark val="out"/>
        <c:minorTickMark val="none"/>
        <c:tickLblPos val="nextTo"/>
        <c:crossAx val="-2131818712"/>
        <c:crosses val="autoZero"/>
        <c:auto val="1"/>
        <c:lblAlgn val="ctr"/>
        <c:lblOffset val="100"/>
        <c:noMultiLvlLbl val="0"/>
      </c:catAx>
      <c:valAx>
        <c:axId val="-2131818712"/>
        <c:scaling>
          <c:orientation val="minMax"/>
        </c:scaling>
        <c:delete val="0"/>
        <c:axPos val="l"/>
        <c:majorGridlines/>
        <c:numFmt formatCode="General" sourceLinked="1"/>
        <c:majorTickMark val="out"/>
        <c:minorTickMark val="none"/>
        <c:tickLblPos val="nextTo"/>
        <c:crossAx val="-2103299064"/>
        <c:crosses val="autoZero"/>
        <c:crossBetween val="between"/>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2000" b="0"/>
            </a:pPr>
            <a:r>
              <a:rPr lang="en-US" sz="2000" b="0"/>
              <a:t>Average Time per Question </a:t>
            </a:r>
          </a:p>
        </c:rich>
      </c:tx>
      <c:layout/>
      <c:overlay val="0"/>
    </c:title>
    <c:autoTitleDeleted val="0"/>
    <c:plotArea>
      <c:layout/>
      <c:barChart>
        <c:barDir val="col"/>
        <c:grouping val="clustered"/>
        <c:varyColors val="0"/>
        <c:ser>
          <c:idx val="0"/>
          <c:order val="0"/>
          <c:tx>
            <c:strRef>
              <c:f>'Errors per Question Collab'!$F$20</c:f>
              <c:strCache>
                <c:ptCount val="1"/>
                <c:pt idx="0">
                  <c:v>Average per Question Number</c:v>
                </c:pt>
              </c:strCache>
            </c:strRef>
          </c:tx>
          <c:invertIfNegative val="0"/>
          <c:cat>
            <c:strRef>
              <c:f>'Errors per Question Collab'!$E$21:$E$22</c:f>
              <c:strCache>
                <c:ptCount val="2"/>
                <c:pt idx="0">
                  <c:v>Collaborative</c:v>
                </c:pt>
                <c:pt idx="1">
                  <c:v>Individual</c:v>
                </c:pt>
              </c:strCache>
            </c:strRef>
          </c:cat>
          <c:val>
            <c:numRef>
              <c:f>'Errors per Question Collab'!$F$21:$F$22</c:f>
              <c:numCache>
                <c:formatCode>General</c:formatCode>
                <c:ptCount val="2"/>
                <c:pt idx="0">
                  <c:v>1.242900786082604</c:v>
                </c:pt>
                <c:pt idx="1">
                  <c:v>1.524687412</c:v>
                </c:pt>
              </c:numCache>
            </c:numRef>
          </c:val>
        </c:ser>
        <c:dLbls>
          <c:showLegendKey val="0"/>
          <c:showVal val="0"/>
          <c:showCatName val="0"/>
          <c:showSerName val="0"/>
          <c:showPercent val="0"/>
          <c:showBubbleSize val="0"/>
        </c:dLbls>
        <c:gapWidth val="150"/>
        <c:axId val="-2119557736"/>
        <c:axId val="-2137174056"/>
      </c:barChart>
      <c:catAx>
        <c:axId val="-2119557736"/>
        <c:scaling>
          <c:orientation val="minMax"/>
        </c:scaling>
        <c:delete val="0"/>
        <c:axPos val="b"/>
        <c:majorTickMark val="out"/>
        <c:minorTickMark val="none"/>
        <c:tickLblPos val="nextTo"/>
        <c:txPr>
          <a:bodyPr/>
          <a:lstStyle/>
          <a:p>
            <a:pPr>
              <a:defRPr sz="1400"/>
            </a:pPr>
            <a:endParaRPr lang="en-US"/>
          </a:p>
        </c:txPr>
        <c:crossAx val="-2137174056"/>
        <c:crosses val="autoZero"/>
        <c:auto val="1"/>
        <c:lblAlgn val="ctr"/>
        <c:lblOffset val="100"/>
        <c:noMultiLvlLbl val="0"/>
      </c:catAx>
      <c:valAx>
        <c:axId val="-2137174056"/>
        <c:scaling>
          <c:orientation val="minMax"/>
        </c:scaling>
        <c:delete val="0"/>
        <c:axPos val="l"/>
        <c:majorGridlines/>
        <c:title>
          <c:tx>
            <c:rich>
              <a:bodyPr rot="-5400000" vert="horz"/>
              <a:lstStyle/>
              <a:p>
                <a:pPr>
                  <a:defRPr/>
                </a:pPr>
                <a:r>
                  <a:rPr lang="en-US" sz="1400" b="0"/>
                  <a:t>Times (s)</a:t>
                </a:r>
              </a:p>
            </c:rich>
          </c:tx>
          <c:layout/>
          <c:overlay val="0"/>
        </c:title>
        <c:numFmt formatCode="General" sourceLinked="1"/>
        <c:majorTickMark val="out"/>
        <c:minorTickMark val="none"/>
        <c:tickLblPos val="nextTo"/>
        <c:crossAx val="-2119557736"/>
        <c:crosses val="autoZero"/>
        <c:crossBetween val="between"/>
      </c:valAx>
    </c:plotArea>
    <c:plotVisOnly val="1"/>
    <c:dispBlanksAs val="gap"/>
    <c:showDLblsOverMax val="0"/>
  </c:chart>
  <c:printSettings>
    <c:headerFooter/>
    <c:pageMargins b="1.0" l="0.75" r="0.75" t="1.0"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b="0"/>
              <a:t>Questionnaire</a:t>
            </a:r>
            <a:r>
              <a:rPr lang="en-US" sz="2000" b="0" baseline="0"/>
              <a:t> Confidence Averages n = 67</a:t>
            </a:r>
            <a:endParaRPr lang="en-US" sz="2000" b="0"/>
          </a:p>
        </c:rich>
      </c:tx>
      <c:layout/>
      <c:overlay val="0"/>
    </c:title>
    <c:autoTitleDeleted val="0"/>
    <c:plotArea>
      <c:layout>
        <c:manualLayout>
          <c:layoutTarget val="inner"/>
          <c:xMode val="edge"/>
          <c:yMode val="edge"/>
          <c:x val="0.0434807119698273"/>
          <c:y val="0.0841907891010026"/>
          <c:w val="0.942644610600146"/>
          <c:h val="0.83579745652297"/>
        </c:manualLayout>
      </c:layout>
      <c:barChart>
        <c:barDir val="col"/>
        <c:grouping val="clustered"/>
        <c:varyColors val="0"/>
        <c:ser>
          <c:idx val="1"/>
          <c:order val="0"/>
          <c:tx>
            <c:v>Pre Use Answers</c:v>
          </c:tx>
          <c:invertIfNegative val="0"/>
          <c:cat>
            <c:strRef>
              <c:f>PostQuestionnaire.csv!$C$59:$L$59</c:f>
              <c:strCache>
                <c:ptCount val="10"/>
                <c:pt idx="0">
                  <c:v>Comfort</c:v>
                </c:pt>
                <c:pt idx="1">
                  <c:v>Code for lists</c:v>
                </c:pt>
                <c:pt idx="2">
                  <c:v>Insert</c:v>
                </c:pt>
                <c:pt idx="3">
                  <c:v>Find</c:v>
                </c:pt>
                <c:pt idx="4">
                  <c:v>Delete</c:v>
                </c:pt>
                <c:pt idx="5">
                  <c:v>Code for Insert</c:v>
                </c:pt>
                <c:pt idx="6">
                  <c:v>Code for Find</c:v>
                </c:pt>
                <c:pt idx="7">
                  <c:v>Code for Delete</c:v>
                </c:pt>
                <c:pt idx="8">
                  <c:v>Diagram Connection</c:v>
                </c:pt>
                <c:pt idx="9">
                  <c:v>Diagram Helps</c:v>
                </c:pt>
              </c:strCache>
            </c:strRef>
          </c:cat>
          <c:val>
            <c:numRef>
              <c:f>PostQuestionnaire.csv!$C$56:$L$56</c:f>
              <c:numCache>
                <c:formatCode>General</c:formatCode>
                <c:ptCount val="10"/>
                <c:pt idx="0">
                  <c:v>4.071428571428571</c:v>
                </c:pt>
                <c:pt idx="1">
                  <c:v>3.857142857142857</c:v>
                </c:pt>
                <c:pt idx="2">
                  <c:v>4.071428571428571</c:v>
                </c:pt>
                <c:pt idx="3">
                  <c:v>4.0</c:v>
                </c:pt>
                <c:pt idx="4">
                  <c:v>4.0</c:v>
                </c:pt>
                <c:pt idx="5">
                  <c:v>3.928571428571428</c:v>
                </c:pt>
                <c:pt idx="6">
                  <c:v>3.857142857142857</c:v>
                </c:pt>
                <c:pt idx="7">
                  <c:v>3.846153846153846</c:v>
                </c:pt>
                <c:pt idx="8">
                  <c:v>4.142857142857143</c:v>
                </c:pt>
                <c:pt idx="9">
                  <c:v>3.5</c:v>
                </c:pt>
              </c:numCache>
            </c:numRef>
          </c:val>
        </c:ser>
        <c:ser>
          <c:idx val="0"/>
          <c:order val="1"/>
          <c:tx>
            <c:v>Post Use Answers</c:v>
          </c:tx>
          <c:invertIfNegative val="0"/>
          <c:cat>
            <c:strRef>
              <c:f>PostQuestionnaire.csv!$C$59:$L$59</c:f>
              <c:strCache>
                <c:ptCount val="10"/>
                <c:pt idx="0">
                  <c:v>Comfort</c:v>
                </c:pt>
                <c:pt idx="1">
                  <c:v>Code for lists</c:v>
                </c:pt>
                <c:pt idx="2">
                  <c:v>Insert</c:v>
                </c:pt>
                <c:pt idx="3">
                  <c:v>Find</c:v>
                </c:pt>
                <c:pt idx="4">
                  <c:v>Delete</c:v>
                </c:pt>
                <c:pt idx="5">
                  <c:v>Code for Insert</c:v>
                </c:pt>
                <c:pt idx="6">
                  <c:v>Code for Find</c:v>
                </c:pt>
                <c:pt idx="7">
                  <c:v>Code for Delete</c:v>
                </c:pt>
                <c:pt idx="8">
                  <c:v>Diagram Connection</c:v>
                </c:pt>
                <c:pt idx="9">
                  <c:v>Diagram Helps</c:v>
                </c:pt>
              </c:strCache>
            </c:strRef>
          </c:cat>
          <c:val>
            <c:numRef>
              <c:f>PostQuestionnaire.csv!$C$55:$L$55</c:f>
              <c:numCache>
                <c:formatCode>General</c:formatCode>
                <c:ptCount val="10"/>
                <c:pt idx="0">
                  <c:v>4.0</c:v>
                </c:pt>
                <c:pt idx="1">
                  <c:v>3.69811320754717</c:v>
                </c:pt>
                <c:pt idx="2">
                  <c:v>4.09433962264151</c:v>
                </c:pt>
                <c:pt idx="3">
                  <c:v>3.923076923076923</c:v>
                </c:pt>
                <c:pt idx="4">
                  <c:v>4.075471698113207</c:v>
                </c:pt>
                <c:pt idx="5">
                  <c:v>3.716981132075471</c:v>
                </c:pt>
                <c:pt idx="6">
                  <c:v>3.641509433962264</c:v>
                </c:pt>
                <c:pt idx="7">
                  <c:v>3.653846153846154</c:v>
                </c:pt>
                <c:pt idx="8">
                  <c:v>4.0</c:v>
                </c:pt>
                <c:pt idx="9">
                  <c:v>3.90566037735849</c:v>
                </c:pt>
              </c:numCache>
            </c:numRef>
          </c:val>
        </c:ser>
        <c:dLbls>
          <c:showLegendKey val="0"/>
          <c:showVal val="0"/>
          <c:showCatName val="0"/>
          <c:showSerName val="0"/>
          <c:showPercent val="0"/>
          <c:showBubbleSize val="0"/>
        </c:dLbls>
        <c:gapWidth val="150"/>
        <c:axId val="-2141221416"/>
        <c:axId val="-2141218440"/>
      </c:barChart>
      <c:catAx>
        <c:axId val="-2141221416"/>
        <c:scaling>
          <c:orientation val="minMax"/>
        </c:scaling>
        <c:delete val="0"/>
        <c:axPos val="b"/>
        <c:title>
          <c:layout/>
          <c:overlay val="0"/>
        </c:title>
        <c:numFmt formatCode="General" sourceLinked="0"/>
        <c:majorTickMark val="out"/>
        <c:minorTickMark val="none"/>
        <c:tickLblPos val="nextTo"/>
        <c:txPr>
          <a:bodyPr/>
          <a:lstStyle/>
          <a:p>
            <a:pPr>
              <a:defRPr sz="1400"/>
            </a:pPr>
            <a:endParaRPr lang="en-US"/>
          </a:p>
        </c:txPr>
        <c:crossAx val="-2141218440"/>
        <c:crosses val="autoZero"/>
        <c:auto val="1"/>
        <c:lblAlgn val="ctr"/>
        <c:lblOffset val="100"/>
        <c:noMultiLvlLbl val="0"/>
      </c:catAx>
      <c:valAx>
        <c:axId val="-2141218440"/>
        <c:scaling>
          <c:orientation val="minMax"/>
          <c:max val="5.0"/>
        </c:scaling>
        <c:delete val="0"/>
        <c:axPos val="l"/>
        <c:majorGridlines/>
        <c:title>
          <c:tx>
            <c:rich>
              <a:bodyPr rot="-5400000" vert="horz"/>
              <a:lstStyle/>
              <a:p>
                <a:pPr>
                  <a:defRPr/>
                </a:pPr>
                <a:r>
                  <a:rPr lang="en-US" sz="1400" b="0"/>
                  <a:t>Average</a:t>
                </a:r>
                <a:r>
                  <a:rPr lang="en-US" sz="1400" b="0" baseline="0"/>
                  <a:t> </a:t>
                </a:r>
                <a:r>
                  <a:rPr lang="en-US" sz="1400" b="0"/>
                  <a:t>Likert Scale Score</a:t>
                </a:r>
              </a:p>
            </c:rich>
          </c:tx>
          <c:layout/>
          <c:overlay val="0"/>
        </c:title>
        <c:numFmt formatCode="General" sourceLinked="1"/>
        <c:majorTickMark val="out"/>
        <c:minorTickMark val="none"/>
        <c:tickLblPos val="nextTo"/>
        <c:crossAx val="-2141221416"/>
        <c:crosses val="autoZero"/>
        <c:crossBetween val="between"/>
      </c:valAx>
    </c:plotArea>
    <c:legend>
      <c:legendPos val="r"/>
      <c:layout>
        <c:manualLayout>
          <c:xMode val="edge"/>
          <c:yMode val="edge"/>
          <c:x val="0.864553753238812"/>
          <c:y val="0.12155724239506"/>
          <c:w val="0.13544622532373"/>
          <c:h val="0.157684640685737"/>
        </c:manualLayout>
      </c:layout>
      <c:overlay val="0"/>
      <c:txPr>
        <a:bodyPr/>
        <a:lstStyle/>
        <a:p>
          <a:pPr>
            <a:defRPr sz="1400"/>
          </a:pPr>
          <a:endParaRPr lang="en-US"/>
        </a:p>
      </c:txPr>
    </c:legend>
    <c:plotVisOnly val="1"/>
    <c:dispBlanksAs val="gap"/>
    <c:showDLblsOverMax val="0"/>
  </c:chart>
  <c:printSettings>
    <c:headerFooter/>
    <c:pageMargins b="1.0" l="0.75" r="0.75" t="1.0"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Time per Question While Collaborating</a:t>
            </a:r>
          </a:p>
        </c:rich>
      </c:tx>
      <c:layout/>
      <c:overlay val="0"/>
    </c:title>
    <c:autoTitleDeleted val="0"/>
    <c:plotArea>
      <c:layout/>
      <c:scatterChart>
        <c:scatterStyle val="lineMarker"/>
        <c:varyColors val="0"/>
        <c:ser>
          <c:idx val="0"/>
          <c:order val="0"/>
          <c:tx>
            <c:v>Attempted Collab.</c:v>
          </c:tx>
          <c:spPr>
            <a:ln w="47625">
              <a:noFill/>
            </a:ln>
          </c:spPr>
          <c:yVal>
            <c:numRef>
              <c:f>'Average time collab'!$A$48:$A$64</c:f>
              <c:numCache>
                <c:formatCode>General</c:formatCode>
                <c:ptCount val="17"/>
                <c:pt idx="0">
                  <c:v>175.75</c:v>
                </c:pt>
                <c:pt idx="1">
                  <c:v>87.4</c:v>
                </c:pt>
                <c:pt idx="2">
                  <c:v>75.33333333333333</c:v>
                </c:pt>
                <c:pt idx="3">
                  <c:v>55.6</c:v>
                </c:pt>
                <c:pt idx="4">
                  <c:v>69.93333333333334</c:v>
                </c:pt>
                <c:pt idx="5">
                  <c:v>41.71428571428572</c:v>
                </c:pt>
                <c:pt idx="6">
                  <c:v>58.42857142857143</c:v>
                </c:pt>
                <c:pt idx="7">
                  <c:v>37.64285714285714</c:v>
                </c:pt>
                <c:pt idx="8">
                  <c:v>31.07142857142857</c:v>
                </c:pt>
                <c:pt idx="9">
                  <c:v>26.15384615384615</c:v>
                </c:pt>
                <c:pt idx="10">
                  <c:v>21.84615384615385</c:v>
                </c:pt>
                <c:pt idx="11">
                  <c:v>30.15384615384615</c:v>
                </c:pt>
                <c:pt idx="12">
                  <c:v>27.46153846153846</c:v>
                </c:pt>
                <c:pt idx="13">
                  <c:v>27.07692307692308</c:v>
                </c:pt>
                <c:pt idx="14">
                  <c:v>34.07692307692308</c:v>
                </c:pt>
                <c:pt idx="15">
                  <c:v>23.92307692307692</c:v>
                </c:pt>
                <c:pt idx="16">
                  <c:v>25.38461538461538</c:v>
                </c:pt>
              </c:numCache>
            </c:numRef>
          </c:yVal>
          <c:smooth val="0"/>
        </c:ser>
        <c:dLbls>
          <c:showLegendKey val="0"/>
          <c:showVal val="0"/>
          <c:showCatName val="0"/>
          <c:showSerName val="0"/>
          <c:showPercent val="0"/>
          <c:showBubbleSize val="0"/>
        </c:dLbls>
        <c:axId val="-2142187384"/>
        <c:axId val="-2142192968"/>
      </c:scatterChart>
      <c:valAx>
        <c:axId val="-2142187384"/>
        <c:scaling>
          <c:orientation val="minMax"/>
        </c:scaling>
        <c:delete val="0"/>
        <c:axPos val="b"/>
        <c:title>
          <c:tx>
            <c:rich>
              <a:bodyPr/>
              <a:lstStyle/>
              <a:p>
                <a:pPr>
                  <a:defRPr/>
                </a:pPr>
                <a:r>
                  <a:rPr lang="en-US"/>
                  <a:t>Atttempt</a:t>
                </a:r>
                <a:r>
                  <a:rPr lang="en-US" baseline="0"/>
                  <a:t> Number</a:t>
                </a:r>
              </a:p>
            </c:rich>
          </c:tx>
          <c:layout/>
          <c:overlay val="0"/>
        </c:title>
        <c:majorTickMark val="out"/>
        <c:minorTickMark val="none"/>
        <c:tickLblPos val="nextTo"/>
        <c:crossAx val="-2142192968"/>
        <c:crosses val="autoZero"/>
        <c:crossBetween val="midCat"/>
      </c:valAx>
      <c:valAx>
        <c:axId val="-2142192968"/>
        <c:scaling>
          <c:orientation val="minMax"/>
          <c:max val="300.0"/>
        </c:scaling>
        <c:delete val="0"/>
        <c:axPos val="l"/>
        <c:majorGridlines/>
        <c:title>
          <c:tx>
            <c:rich>
              <a:bodyPr rot="-5400000" vert="horz"/>
              <a:lstStyle/>
              <a:p>
                <a:pPr>
                  <a:defRPr/>
                </a:pPr>
                <a:r>
                  <a:rPr lang="en-US"/>
                  <a:t>Time (s)</a:t>
                </a:r>
              </a:p>
            </c:rich>
          </c:tx>
          <c:layout/>
          <c:overlay val="0"/>
        </c:title>
        <c:numFmt formatCode="General" sourceLinked="1"/>
        <c:majorTickMark val="out"/>
        <c:minorTickMark val="none"/>
        <c:tickLblPos val="nextTo"/>
        <c:crossAx val="-2142187384"/>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Time </a:t>
            </a:r>
            <a:r>
              <a:rPr lang="en-US" baseline="0"/>
              <a:t>per Correct Question While Collaborating</a:t>
            </a:r>
            <a:endParaRPr lang="en-US"/>
          </a:p>
        </c:rich>
      </c:tx>
      <c:layout/>
      <c:overlay val="0"/>
    </c:title>
    <c:autoTitleDeleted val="0"/>
    <c:plotArea>
      <c:layout/>
      <c:scatterChart>
        <c:scatterStyle val="lineMarker"/>
        <c:varyColors val="0"/>
        <c:ser>
          <c:idx val="0"/>
          <c:order val="0"/>
          <c:tx>
            <c:v>Correct Collab</c:v>
          </c:tx>
          <c:spPr>
            <a:ln w="47625">
              <a:noFill/>
            </a:ln>
          </c:spPr>
          <c:yVal>
            <c:numRef>
              <c:f>'Average time collab'!$A$48:$A$64</c:f>
              <c:numCache>
                <c:formatCode>General</c:formatCode>
                <c:ptCount val="17"/>
                <c:pt idx="0">
                  <c:v>175.75</c:v>
                </c:pt>
                <c:pt idx="1">
                  <c:v>87.4</c:v>
                </c:pt>
                <c:pt idx="2">
                  <c:v>75.33333333333333</c:v>
                </c:pt>
                <c:pt idx="3">
                  <c:v>55.6</c:v>
                </c:pt>
                <c:pt idx="4">
                  <c:v>69.93333333333334</c:v>
                </c:pt>
                <c:pt idx="5">
                  <c:v>41.71428571428572</c:v>
                </c:pt>
                <c:pt idx="6">
                  <c:v>58.42857142857143</c:v>
                </c:pt>
                <c:pt idx="7">
                  <c:v>37.64285714285714</c:v>
                </c:pt>
                <c:pt idx="8">
                  <c:v>31.07142857142857</c:v>
                </c:pt>
                <c:pt idx="9">
                  <c:v>26.15384615384615</c:v>
                </c:pt>
                <c:pt idx="10">
                  <c:v>21.84615384615385</c:v>
                </c:pt>
                <c:pt idx="11">
                  <c:v>30.15384615384615</c:v>
                </c:pt>
                <c:pt idx="12">
                  <c:v>27.46153846153846</c:v>
                </c:pt>
                <c:pt idx="13">
                  <c:v>27.07692307692308</c:v>
                </c:pt>
                <c:pt idx="14">
                  <c:v>34.07692307692308</c:v>
                </c:pt>
                <c:pt idx="15">
                  <c:v>23.92307692307692</c:v>
                </c:pt>
                <c:pt idx="16">
                  <c:v>25.38461538461538</c:v>
                </c:pt>
              </c:numCache>
            </c:numRef>
          </c:yVal>
          <c:smooth val="0"/>
        </c:ser>
        <c:dLbls>
          <c:showLegendKey val="0"/>
          <c:showVal val="0"/>
          <c:showCatName val="0"/>
          <c:showSerName val="0"/>
          <c:showPercent val="0"/>
          <c:showBubbleSize val="0"/>
        </c:dLbls>
        <c:axId val="-2142222152"/>
        <c:axId val="-2142227880"/>
      </c:scatterChart>
      <c:valAx>
        <c:axId val="-2142222152"/>
        <c:scaling>
          <c:orientation val="minMax"/>
        </c:scaling>
        <c:delete val="0"/>
        <c:axPos val="b"/>
        <c:title>
          <c:tx>
            <c:rich>
              <a:bodyPr/>
              <a:lstStyle/>
              <a:p>
                <a:pPr>
                  <a:defRPr/>
                </a:pPr>
                <a:r>
                  <a:rPr lang="en-US"/>
                  <a:t>Attempt</a:t>
                </a:r>
                <a:r>
                  <a:rPr lang="en-US" baseline="0"/>
                  <a:t> Number</a:t>
                </a:r>
                <a:endParaRPr lang="en-US"/>
              </a:p>
            </c:rich>
          </c:tx>
          <c:layout/>
          <c:overlay val="0"/>
        </c:title>
        <c:majorTickMark val="out"/>
        <c:minorTickMark val="none"/>
        <c:tickLblPos val="nextTo"/>
        <c:crossAx val="-2142227880"/>
        <c:crosses val="autoZero"/>
        <c:crossBetween val="midCat"/>
      </c:valAx>
      <c:valAx>
        <c:axId val="-2142227880"/>
        <c:scaling>
          <c:orientation val="minMax"/>
          <c:max val="300.0"/>
        </c:scaling>
        <c:delete val="0"/>
        <c:axPos val="l"/>
        <c:majorGridlines/>
        <c:title>
          <c:tx>
            <c:rich>
              <a:bodyPr rot="-5400000" vert="horz"/>
              <a:lstStyle/>
              <a:p>
                <a:pPr>
                  <a:defRPr/>
                </a:pPr>
                <a:r>
                  <a:rPr lang="en-US"/>
                  <a:t>Time(s)</a:t>
                </a:r>
              </a:p>
            </c:rich>
          </c:tx>
          <c:layout/>
          <c:overlay val="0"/>
        </c:title>
        <c:numFmt formatCode="General" sourceLinked="1"/>
        <c:majorTickMark val="out"/>
        <c:minorTickMark val="none"/>
        <c:tickLblPos val="nextTo"/>
        <c:crossAx val="-2142222152"/>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Time per Incorrect Question</a:t>
            </a:r>
            <a:r>
              <a:rPr lang="en-US" baseline="0"/>
              <a:t> While Collaborating</a:t>
            </a:r>
          </a:p>
        </c:rich>
      </c:tx>
      <c:layout/>
      <c:overlay val="0"/>
    </c:title>
    <c:autoTitleDeleted val="0"/>
    <c:plotArea>
      <c:layout/>
      <c:scatterChart>
        <c:scatterStyle val="lineMarker"/>
        <c:varyColors val="0"/>
        <c:ser>
          <c:idx val="0"/>
          <c:order val="0"/>
          <c:tx>
            <c:v>Incorrect Collab.</c:v>
          </c:tx>
          <c:spPr>
            <a:ln w="47625">
              <a:noFill/>
            </a:ln>
          </c:spPr>
          <c:yVal>
            <c:numRef>
              <c:f>'Average Time Collab Incorrect'!$A$25:$A$41</c:f>
              <c:numCache>
                <c:formatCode>General</c:formatCode>
                <c:ptCount val="17"/>
                <c:pt idx="0">
                  <c:v>82.91666666666667</c:v>
                </c:pt>
                <c:pt idx="1">
                  <c:v>67.25</c:v>
                </c:pt>
                <c:pt idx="2">
                  <c:v>148.0</c:v>
                </c:pt>
                <c:pt idx="3">
                  <c:v>89.0</c:v>
                </c:pt>
                <c:pt idx="4">
                  <c:v>72.2</c:v>
                </c:pt>
                <c:pt idx="5">
                  <c:v>92.375</c:v>
                </c:pt>
                <c:pt idx="6">
                  <c:v>61.5</c:v>
                </c:pt>
                <c:pt idx="7">
                  <c:v>124.3333333333333</c:v>
                </c:pt>
                <c:pt idx="8">
                  <c:v>70.2</c:v>
                </c:pt>
                <c:pt idx="9">
                  <c:v>71.2</c:v>
                </c:pt>
                <c:pt idx="10">
                  <c:v>30.2</c:v>
                </c:pt>
                <c:pt idx="11">
                  <c:v>84.0</c:v>
                </c:pt>
                <c:pt idx="12">
                  <c:v>51.5</c:v>
                </c:pt>
                <c:pt idx="13">
                  <c:v>110.6666666666667</c:v>
                </c:pt>
                <c:pt idx="15">
                  <c:v>139.0</c:v>
                </c:pt>
                <c:pt idx="16">
                  <c:v>72.0</c:v>
                </c:pt>
              </c:numCache>
            </c:numRef>
          </c:yVal>
          <c:smooth val="0"/>
        </c:ser>
        <c:dLbls>
          <c:showLegendKey val="0"/>
          <c:showVal val="0"/>
          <c:showCatName val="0"/>
          <c:showSerName val="0"/>
          <c:showPercent val="0"/>
          <c:showBubbleSize val="0"/>
        </c:dLbls>
        <c:axId val="-2142300344"/>
        <c:axId val="-2142709736"/>
      </c:scatterChart>
      <c:valAx>
        <c:axId val="-2142300344"/>
        <c:scaling>
          <c:orientation val="minMax"/>
        </c:scaling>
        <c:delete val="0"/>
        <c:axPos val="b"/>
        <c:title>
          <c:tx>
            <c:rich>
              <a:bodyPr/>
              <a:lstStyle/>
              <a:p>
                <a:pPr>
                  <a:defRPr/>
                </a:pPr>
                <a:r>
                  <a:rPr lang="en-US"/>
                  <a:t>Attempt Number</a:t>
                </a:r>
              </a:p>
            </c:rich>
          </c:tx>
          <c:layout/>
          <c:overlay val="0"/>
        </c:title>
        <c:majorTickMark val="out"/>
        <c:minorTickMark val="none"/>
        <c:tickLblPos val="nextTo"/>
        <c:crossAx val="-2142709736"/>
        <c:crosses val="autoZero"/>
        <c:crossBetween val="midCat"/>
      </c:valAx>
      <c:valAx>
        <c:axId val="-2142709736"/>
        <c:scaling>
          <c:orientation val="minMax"/>
        </c:scaling>
        <c:delete val="0"/>
        <c:axPos val="l"/>
        <c:majorGridlines/>
        <c:title>
          <c:tx>
            <c:rich>
              <a:bodyPr rot="-5400000" vert="horz"/>
              <a:lstStyle/>
              <a:p>
                <a:pPr>
                  <a:defRPr/>
                </a:pPr>
                <a:r>
                  <a:rPr lang="en-US"/>
                  <a:t>Time</a:t>
                </a:r>
                <a:r>
                  <a:rPr lang="en-US" baseline="0"/>
                  <a:t> (s)</a:t>
                </a:r>
              </a:p>
            </c:rich>
          </c:tx>
          <c:layout/>
          <c:overlay val="0"/>
        </c:title>
        <c:numFmt formatCode="General" sourceLinked="1"/>
        <c:majorTickMark val="out"/>
        <c:minorTickMark val="none"/>
        <c:tickLblPos val="nextTo"/>
        <c:crossAx val="-2142300344"/>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b="0"/>
              <a:t>Average Time </a:t>
            </a:r>
            <a:r>
              <a:rPr lang="en-US" sz="2000" b="0" baseline="0"/>
              <a:t>per Question While Collaborating n = 16</a:t>
            </a:r>
            <a:endParaRPr lang="en-US" sz="2000" b="0"/>
          </a:p>
        </c:rich>
      </c:tx>
      <c:layout/>
      <c:overlay val="0"/>
    </c:title>
    <c:autoTitleDeleted val="0"/>
    <c:plotArea>
      <c:layout/>
      <c:scatterChart>
        <c:scatterStyle val="lineMarker"/>
        <c:varyColors val="0"/>
        <c:ser>
          <c:idx val="1"/>
          <c:order val="1"/>
          <c:tx>
            <c:v>Attempted </c:v>
          </c:tx>
          <c:spPr>
            <a:ln w="47625">
              <a:noFill/>
            </a:ln>
          </c:spPr>
          <c:yVal>
            <c:numRef>
              <c:f>'Average Time Collab Correct'!$A$27:$A$42</c:f>
              <c:numCache>
                <c:formatCode>General</c:formatCode>
                <c:ptCount val="16"/>
                <c:pt idx="0">
                  <c:v>173.0625</c:v>
                </c:pt>
                <c:pt idx="1">
                  <c:v>90.0</c:v>
                </c:pt>
                <c:pt idx="2">
                  <c:v>56.06666666666667</c:v>
                </c:pt>
                <c:pt idx="3">
                  <c:v>45.57142857142857</c:v>
                </c:pt>
                <c:pt idx="4">
                  <c:v>77.64285714285714</c:v>
                </c:pt>
                <c:pt idx="5">
                  <c:v>69.07692307692308</c:v>
                </c:pt>
                <c:pt idx="6">
                  <c:v>24.25</c:v>
                </c:pt>
                <c:pt idx="7">
                  <c:v>20.41666666666667</c:v>
                </c:pt>
                <c:pt idx="8">
                  <c:v>24.16666666666667</c:v>
                </c:pt>
                <c:pt idx="9">
                  <c:v>15.91666666666667</c:v>
                </c:pt>
                <c:pt idx="10">
                  <c:v>15.33333333333333</c:v>
                </c:pt>
                <c:pt idx="11">
                  <c:v>30.66666666666667</c:v>
                </c:pt>
                <c:pt idx="12">
                  <c:v>39.91666666666666</c:v>
                </c:pt>
                <c:pt idx="13">
                  <c:v>33.58333333333334</c:v>
                </c:pt>
                <c:pt idx="14">
                  <c:v>33.83333333333334</c:v>
                </c:pt>
                <c:pt idx="15">
                  <c:v>27.0</c:v>
                </c:pt>
              </c:numCache>
            </c:numRef>
          </c:yVal>
          <c:smooth val="0"/>
        </c:ser>
        <c:ser>
          <c:idx val="2"/>
          <c:order val="2"/>
          <c:tx>
            <c:v>Incorrect</c:v>
          </c:tx>
          <c:spPr>
            <a:ln w="47625">
              <a:noFill/>
            </a:ln>
          </c:spPr>
          <c:yVal>
            <c:numRef>
              <c:f>'Average Time Collab Incorrect'!$A$25:$A$41</c:f>
              <c:numCache>
                <c:formatCode>General</c:formatCode>
                <c:ptCount val="17"/>
                <c:pt idx="0">
                  <c:v>82.91666666666667</c:v>
                </c:pt>
                <c:pt idx="1">
                  <c:v>67.25</c:v>
                </c:pt>
                <c:pt idx="2">
                  <c:v>148.0</c:v>
                </c:pt>
                <c:pt idx="3">
                  <c:v>89.0</c:v>
                </c:pt>
                <c:pt idx="4">
                  <c:v>72.2</c:v>
                </c:pt>
                <c:pt idx="5">
                  <c:v>92.375</c:v>
                </c:pt>
                <c:pt idx="6">
                  <c:v>61.5</c:v>
                </c:pt>
                <c:pt idx="7">
                  <c:v>124.3333333333333</c:v>
                </c:pt>
                <c:pt idx="8">
                  <c:v>70.2</c:v>
                </c:pt>
                <c:pt idx="9">
                  <c:v>71.2</c:v>
                </c:pt>
                <c:pt idx="10">
                  <c:v>30.2</c:v>
                </c:pt>
                <c:pt idx="11">
                  <c:v>84.0</c:v>
                </c:pt>
                <c:pt idx="12">
                  <c:v>51.5</c:v>
                </c:pt>
                <c:pt idx="13">
                  <c:v>110.6666666666667</c:v>
                </c:pt>
                <c:pt idx="15">
                  <c:v>139.0</c:v>
                </c:pt>
                <c:pt idx="16">
                  <c:v>72.0</c:v>
                </c:pt>
              </c:numCache>
            </c:numRef>
          </c:yVal>
          <c:smooth val="0"/>
        </c:ser>
        <c:ser>
          <c:idx val="0"/>
          <c:order val="0"/>
          <c:tx>
            <c:v>Correct</c:v>
          </c:tx>
          <c:spPr>
            <a:ln w="47625">
              <a:noFill/>
            </a:ln>
          </c:spPr>
          <c:yVal>
            <c:numRef>
              <c:f>'Average time collab'!$A$48:$A$64</c:f>
              <c:numCache>
                <c:formatCode>General</c:formatCode>
                <c:ptCount val="17"/>
                <c:pt idx="0">
                  <c:v>175.75</c:v>
                </c:pt>
                <c:pt idx="1">
                  <c:v>87.4</c:v>
                </c:pt>
                <c:pt idx="2">
                  <c:v>75.33333333333333</c:v>
                </c:pt>
                <c:pt idx="3">
                  <c:v>55.6</c:v>
                </c:pt>
                <c:pt idx="4">
                  <c:v>69.93333333333334</c:v>
                </c:pt>
                <c:pt idx="5">
                  <c:v>41.71428571428572</c:v>
                </c:pt>
                <c:pt idx="6">
                  <c:v>58.42857142857143</c:v>
                </c:pt>
                <c:pt idx="7">
                  <c:v>37.64285714285714</c:v>
                </c:pt>
                <c:pt idx="8">
                  <c:v>31.07142857142857</c:v>
                </c:pt>
                <c:pt idx="9">
                  <c:v>26.15384615384615</c:v>
                </c:pt>
                <c:pt idx="10">
                  <c:v>21.84615384615385</c:v>
                </c:pt>
                <c:pt idx="11">
                  <c:v>30.15384615384615</c:v>
                </c:pt>
                <c:pt idx="12">
                  <c:v>27.46153846153846</c:v>
                </c:pt>
                <c:pt idx="13">
                  <c:v>27.07692307692308</c:v>
                </c:pt>
                <c:pt idx="14">
                  <c:v>34.07692307692308</c:v>
                </c:pt>
                <c:pt idx="15">
                  <c:v>23.92307692307692</c:v>
                </c:pt>
                <c:pt idx="16">
                  <c:v>25.38461538461538</c:v>
                </c:pt>
              </c:numCache>
            </c:numRef>
          </c:yVal>
          <c:smooth val="0"/>
        </c:ser>
        <c:dLbls>
          <c:showLegendKey val="0"/>
          <c:showVal val="0"/>
          <c:showCatName val="0"/>
          <c:showSerName val="0"/>
          <c:showPercent val="0"/>
          <c:showBubbleSize val="0"/>
        </c:dLbls>
        <c:axId val="-2142708248"/>
        <c:axId val="-2142792360"/>
      </c:scatterChart>
      <c:valAx>
        <c:axId val="-2142708248"/>
        <c:scaling>
          <c:orientation val="minMax"/>
        </c:scaling>
        <c:delete val="0"/>
        <c:axPos val="b"/>
        <c:title>
          <c:tx>
            <c:rich>
              <a:bodyPr/>
              <a:lstStyle/>
              <a:p>
                <a:pPr>
                  <a:defRPr/>
                </a:pPr>
                <a:r>
                  <a:rPr lang="en-US" sz="1400" b="0"/>
                  <a:t>Attempt</a:t>
                </a:r>
                <a:r>
                  <a:rPr lang="en-US" sz="1400" b="0" baseline="0"/>
                  <a:t> Number</a:t>
                </a:r>
                <a:endParaRPr lang="en-US" sz="1400" b="0"/>
              </a:p>
            </c:rich>
          </c:tx>
          <c:layout/>
          <c:overlay val="0"/>
        </c:title>
        <c:majorTickMark val="out"/>
        <c:minorTickMark val="none"/>
        <c:tickLblPos val="nextTo"/>
        <c:crossAx val="-2142792360"/>
        <c:crosses val="autoZero"/>
        <c:crossBetween val="midCat"/>
      </c:valAx>
      <c:valAx>
        <c:axId val="-2142792360"/>
        <c:scaling>
          <c:orientation val="minMax"/>
        </c:scaling>
        <c:delete val="0"/>
        <c:axPos val="l"/>
        <c:majorGridlines/>
        <c:title>
          <c:tx>
            <c:rich>
              <a:bodyPr rot="-5400000" vert="horz"/>
              <a:lstStyle/>
              <a:p>
                <a:pPr>
                  <a:defRPr/>
                </a:pPr>
                <a:r>
                  <a:rPr lang="en-US" sz="1400" b="0"/>
                  <a:t>Time(s)</a:t>
                </a:r>
              </a:p>
            </c:rich>
          </c:tx>
          <c:layout/>
          <c:overlay val="0"/>
        </c:title>
        <c:numFmt formatCode="General" sourceLinked="1"/>
        <c:majorTickMark val="out"/>
        <c:minorTickMark val="none"/>
        <c:tickLblPos val="nextTo"/>
        <c:crossAx val="-2142708248"/>
        <c:crosses val="autoZero"/>
        <c:crossBetween val="midCat"/>
      </c:valAx>
    </c:plotArea>
    <c:legend>
      <c:legendPos val="r"/>
      <c:layout/>
      <c:overlay val="0"/>
      <c:txPr>
        <a:bodyPr/>
        <a:lstStyle/>
        <a:p>
          <a:pPr>
            <a:defRPr sz="1400"/>
          </a:pPr>
          <a:endParaRPr lang="en-US"/>
        </a:p>
      </c:txPr>
    </c:legend>
    <c:plotVisOnly val="1"/>
    <c:dispBlanksAs val="gap"/>
    <c:showDLblsOverMax val="0"/>
  </c:chart>
  <c:printSettings>
    <c:headerFooter/>
    <c:pageMargins b="1.0" l="0.75" r="0.75" t="1.0"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Time per Question</a:t>
            </a:r>
          </a:p>
        </c:rich>
      </c:tx>
      <c:layout/>
      <c:overlay val="0"/>
    </c:title>
    <c:autoTitleDeleted val="0"/>
    <c:plotArea>
      <c:layout/>
      <c:scatterChart>
        <c:scatterStyle val="lineMarker"/>
        <c:varyColors val="0"/>
        <c:ser>
          <c:idx val="0"/>
          <c:order val="0"/>
          <c:tx>
            <c:v>Attempted</c:v>
          </c:tx>
          <c:spPr>
            <a:ln w="47625">
              <a:noFill/>
            </a:ln>
          </c:spPr>
          <c:yVal>
            <c:numRef>
              <c:f>'Average Time'!$B$54:$Q$54</c:f>
              <c:numCache>
                <c:formatCode>General</c:formatCode>
                <c:ptCount val="16"/>
                <c:pt idx="0">
                  <c:v>111.1132075471698</c:v>
                </c:pt>
                <c:pt idx="1">
                  <c:v>43.96153846153846</c:v>
                </c:pt>
                <c:pt idx="2">
                  <c:v>44.42307692307692</c:v>
                </c:pt>
                <c:pt idx="3">
                  <c:v>69.19230769230769</c:v>
                </c:pt>
                <c:pt idx="4">
                  <c:v>163.8846153846154</c:v>
                </c:pt>
                <c:pt idx="5">
                  <c:v>48.94230769230769</c:v>
                </c:pt>
                <c:pt idx="6">
                  <c:v>40.09615384615384</c:v>
                </c:pt>
                <c:pt idx="7">
                  <c:v>38.05769230769231</c:v>
                </c:pt>
                <c:pt idx="8">
                  <c:v>33.65384615384615</c:v>
                </c:pt>
                <c:pt idx="9">
                  <c:v>30.84615384615385</c:v>
                </c:pt>
                <c:pt idx="10">
                  <c:v>26.38461538461538</c:v>
                </c:pt>
                <c:pt idx="11">
                  <c:v>27.61538461538462</c:v>
                </c:pt>
                <c:pt idx="12">
                  <c:v>66.80392156862744</c:v>
                </c:pt>
                <c:pt idx="13">
                  <c:v>35.13725490196079</c:v>
                </c:pt>
                <c:pt idx="14">
                  <c:v>31.23529411764706</c:v>
                </c:pt>
                <c:pt idx="15">
                  <c:v>37.43137254901961</c:v>
                </c:pt>
              </c:numCache>
            </c:numRef>
          </c:yVal>
          <c:smooth val="0"/>
        </c:ser>
        <c:dLbls>
          <c:showLegendKey val="0"/>
          <c:showVal val="0"/>
          <c:showCatName val="0"/>
          <c:showSerName val="0"/>
          <c:showPercent val="0"/>
          <c:showBubbleSize val="0"/>
        </c:dLbls>
        <c:axId val="-2142944680"/>
        <c:axId val="-2142237736"/>
      </c:scatterChart>
      <c:valAx>
        <c:axId val="-2142944680"/>
        <c:scaling>
          <c:orientation val="minMax"/>
        </c:scaling>
        <c:delete val="0"/>
        <c:axPos val="b"/>
        <c:title>
          <c:tx>
            <c:rich>
              <a:bodyPr/>
              <a:lstStyle/>
              <a:p>
                <a:pPr>
                  <a:defRPr/>
                </a:pPr>
                <a:r>
                  <a:rPr lang="en-US"/>
                  <a:t>Atttempt</a:t>
                </a:r>
                <a:r>
                  <a:rPr lang="en-US" baseline="0"/>
                  <a:t> Number</a:t>
                </a:r>
              </a:p>
            </c:rich>
          </c:tx>
          <c:layout/>
          <c:overlay val="0"/>
        </c:title>
        <c:majorTickMark val="out"/>
        <c:minorTickMark val="none"/>
        <c:tickLblPos val="nextTo"/>
        <c:crossAx val="-2142237736"/>
        <c:crosses val="autoZero"/>
        <c:crossBetween val="midCat"/>
      </c:valAx>
      <c:valAx>
        <c:axId val="-2142237736"/>
        <c:scaling>
          <c:orientation val="minMax"/>
          <c:max val="300.0"/>
        </c:scaling>
        <c:delete val="0"/>
        <c:axPos val="l"/>
        <c:majorGridlines/>
        <c:title>
          <c:tx>
            <c:rich>
              <a:bodyPr rot="-5400000" vert="horz"/>
              <a:lstStyle/>
              <a:p>
                <a:pPr>
                  <a:defRPr/>
                </a:pPr>
                <a:r>
                  <a:rPr lang="en-US"/>
                  <a:t>Time (s)</a:t>
                </a:r>
              </a:p>
            </c:rich>
          </c:tx>
          <c:layout/>
          <c:overlay val="0"/>
        </c:title>
        <c:numFmt formatCode="General" sourceLinked="1"/>
        <c:majorTickMark val="out"/>
        <c:minorTickMark val="none"/>
        <c:tickLblPos val="nextTo"/>
        <c:crossAx val="-2142944680"/>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Time </a:t>
            </a:r>
            <a:r>
              <a:rPr lang="en-US" baseline="0"/>
              <a:t>per Correct Question </a:t>
            </a:r>
            <a:endParaRPr lang="en-US"/>
          </a:p>
        </c:rich>
      </c:tx>
      <c:layout/>
      <c:overlay val="0"/>
    </c:title>
    <c:autoTitleDeleted val="0"/>
    <c:plotArea>
      <c:layout/>
      <c:scatterChart>
        <c:scatterStyle val="lineMarker"/>
        <c:varyColors val="0"/>
        <c:ser>
          <c:idx val="0"/>
          <c:order val="0"/>
          <c:tx>
            <c:v>Correct</c:v>
          </c:tx>
          <c:spPr>
            <a:ln w="47625">
              <a:noFill/>
            </a:ln>
          </c:spPr>
          <c:yVal>
            <c:numRef>
              <c:f>'Average Time Correct'!$A$31:$A$47</c:f>
              <c:numCache>
                <c:formatCode>General</c:formatCode>
                <c:ptCount val="17"/>
                <c:pt idx="0">
                  <c:v>109.5333333333333</c:v>
                </c:pt>
                <c:pt idx="1">
                  <c:v>63.47727272727273</c:v>
                </c:pt>
                <c:pt idx="2">
                  <c:v>41.5</c:v>
                </c:pt>
                <c:pt idx="3">
                  <c:v>56.47727272727273</c:v>
                </c:pt>
                <c:pt idx="4">
                  <c:v>63.90909090909091</c:v>
                </c:pt>
                <c:pt idx="5">
                  <c:v>21.97727272727273</c:v>
                </c:pt>
                <c:pt idx="6">
                  <c:v>21.34090909090909</c:v>
                </c:pt>
                <c:pt idx="7">
                  <c:v>17.18181818181818</c:v>
                </c:pt>
                <c:pt idx="8">
                  <c:v>18.20454545454545</c:v>
                </c:pt>
                <c:pt idx="9">
                  <c:v>21.29545454545455</c:v>
                </c:pt>
                <c:pt idx="10">
                  <c:v>19.38636363636364</c:v>
                </c:pt>
                <c:pt idx="11">
                  <c:v>17.54545454545455</c:v>
                </c:pt>
                <c:pt idx="12">
                  <c:v>30.54545454545455</c:v>
                </c:pt>
                <c:pt idx="13">
                  <c:v>24.22727272727273</c:v>
                </c:pt>
                <c:pt idx="14">
                  <c:v>21.72727272727273</c:v>
                </c:pt>
                <c:pt idx="15">
                  <c:v>16.93023255813954</c:v>
                </c:pt>
                <c:pt idx="16">
                  <c:v>34.41860465116279</c:v>
                </c:pt>
              </c:numCache>
            </c:numRef>
          </c:yVal>
          <c:smooth val="0"/>
        </c:ser>
        <c:dLbls>
          <c:showLegendKey val="0"/>
          <c:showVal val="0"/>
          <c:showCatName val="0"/>
          <c:showSerName val="0"/>
          <c:showPercent val="0"/>
          <c:showBubbleSize val="0"/>
        </c:dLbls>
        <c:axId val="-2142261256"/>
        <c:axId val="-2142298488"/>
      </c:scatterChart>
      <c:valAx>
        <c:axId val="-2142261256"/>
        <c:scaling>
          <c:orientation val="minMax"/>
        </c:scaling>
        <c:delete val="0"/>
        <c:axPos val="b"/>
        <c:title>
          <c:tx>
            <c:rich>
              <a:bodyPr/>
              <a:lstStyle/>
              <a:p>
                <a:pPr>
                  <a:defRPr/>
                </a:pPr>
                <a:r>
                  <a:rPr lang="en-US"/>
                  <a:t>Attempt</a:t>
                </a:r>
                <a:r>
                  <a:rPr lang="en-US" baseline="0"/>
                  <a:t> Number</a:t>
                </a:r>
                <a:endParaRPr lang="en-US"/>
              </a:p>
            </c:rich>
          </c:tx>
          <c:layout/>
          <c:overlay val="0"/>
        </c:title>
        <c:majorTickMark val="out"/>
        <c:minorTickMark val="none"/>
        <c:tickLblPos val="nextTo"/>
        <c:crossAx val="-2142298488"/>
        <c:crosses val="autoZero"/>
        <c:crossBetween val="midCat"/>
      </c:valAx>
      <c:valAx>
        <c:axId val="-2142298488"/>
        <c:scaling>
          <c:orientation val="minMax"/>
          <c:max val="300.0"/>
        </c:scaling>
        <c:delete val="0"/>
        <c:axPos val="l"/>
        <c:majorGridlines/>
        <c:title>
          <c:tx>
            <c:rich>
              <a:bodyPr rot="-5400000" vert="horz"/>
              <a:lstStyle/>
              <a:p>
                <a:pPr>
                  <a:defRPr/>
                </a:pPr>
                <a:r>
                  <a:rPr lang="en-US"/>
                  <a:t>Time(s)</a:t>
                </a:r>
              </a:p>
            </c:rich>
          </c:tx>
          <c:layout/>
          <c:overlay val="0"/>
        </c:title>
        <c:numFmt formatCode="General" sourceLinked="1"/>
        <c:majorTickMark val="out"/>
        <c:minorTickMark val="none"/>
        <c:tickLblPos val="nextTo"/>
        <c:crossAx val="-2142261256"/>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Time per Incorrect Question</a:t>
            </a:r>
            <a:r>
              <a:rPr lang="en-US" baseline="0"/>
              <a:t> </a:t>
            </a:r>
          </a:p>
        </c:rich>
      </c:tx>
      <c:layout/>
      <c:overlay val="0"/>
    </c:title>
    <c:autoTitleDeleted val="0"/>
    <c:plotArea>
      <c:layout/>
      <c:scatterChart>
        <c:scatterStyle val="lineMarker"/>
        <c:varyColors val="0"/>
        <c:ser>
          <c:idx val="0"/>
          <c:order val="0"/>
          <c:tx>
            <c:v>Incorrect</c:v>
          </c:tx>
          <c:spPr>
            <a:ln w="47625">
              <a:noFill/>
            </a:ln>
          </c:spPr>
          <c:yVal>
            <c:numRef>
              <c:f>'Average Time Incorrect'!$A$40:$A$56</c:f>
              <c:numCache>
                <c:formatCode>General</c:formatCode>
                <c:ptCount val="17"/>
                <c:pt idx="0">
                  <c:v>70.89583333333333</c:v>
                </c:pt>
                <c:pt idx="1">
                  <c:v>89.73913043478261</c:v>
                </c:pt>
                <c:pt idx="2">
                  <c:v>185.7826086956522</c:v>
                </c:pt>
                <c:pt idx="3">
                  <c:v>71.91304347826087</c:v>
                </c:pt>
                <c:pt idx="4">
                  <c:v>70.7906976744186</c:v>
                </c:pt>
                <c:pt idx="5">
                  <c:v>78.76923076923077</c:v>
                </c:pt>
                <c:pt idx="6">
                  <c:v>88.67647058823529</c:v>
                </c:pt>
                <c:pt idx="7">
                  <c:v>82.78125</c:v>
                </c:pt>
                <c:pt idx="8">
                  <c:v>80.06451612903225</c:v>
                </c:pt>
                <c:pt idx="9">
                  <c:v>96.1</c:v>
                </c:pt>
                <c:pt idx="10">
                  <c:v>71.88888888888889</c:v>
                </c:pt>
                <c:pt idx="11">
                  <c:v>72.11538461538461</c:v>
                </c:pt>
                <c:pt idx="12">
                  <c:v>71.54545454545455</c:v>
                </c:pt>
                <c:pt idx="13">
                  <c:v>80.0909090909091</c:v>
                </c:pt>
                <c:pt idx="14">
                  <c:v>51.61111111111111</c:v>
                </c:pt>
                <c:pt idx="15">
                  <c:v>53.58823529411764</c:v>
                </c:pt>
                <c:pt idx="16">
                  <c:v>54.25</c:v>
                </c:pt>
              </c:numCache>
            </c:numRef>
          </c:yVal>
          <c:smooth val="0"/>
        </c:ser>
        <c:dLbls>
          <c:showLegendKey val="0"/>
          <c:showVal val="0"/>
          <c:showCatName val="0"/>
          <c:showSerName val="0"/>
          <c:showPercent val="0"/>
          <c:showBubbleSize val="0"/>
        </c:dLbls>
        <c:axId val="-2142318104"/>
        <c:axId val="-2142312664"/>
      </c:scatterChart>
      <c:valAx>
        <c:axId val="-2142318104"/>
        <c:scaling>
          <c:orientation val="minMax"/>
        </c:scaling>
        <c:delete val="0"/>
        <c:axPos val="b"/>
        <c:title>
          <c:tx>
            <c:rich>
              <a:bodyPr/>
              <a:lstStyle/>
              <a:p>
                <a:pPr>
                  <a:defRPr/>
                </a:pPr>
                <a:r>
                  <a:rPr lang="en-US"/>
                  <a:t>Attempt Number</a:t>
                </a:r>
              </a:p>
            </c:rich>
          </c:tx>
          <c:layout/>
          <c:overlay val="0"/>
        </c:title>
        <c:majorTickMark val="out"/>
        <c:minorTickMark val="none"/>
        <c:tickLblPos val="nextTo"/>
        <c:crossAx val="-2142312664"/>
        <c:crosses val="autoZero"/>
        <c:crossBetween val="midCat"/>
      </c:valAx>
      <c:valAx>
        <c:axId val="-2142312664"/>
        <c:scaling>
          <c:orientation val="minMax"/>
          <c:max val="300.0"/>
        </c:scaling>
        <c:delete val="0"/>
        <c:axPos val="l"/>
        <c:majorGridlines/>
        <c:title>
          <c:tx>
            <c:rich>
              <a:bodyPr rot="-5400000" vert="horz"/>
              <a:lstStyle/>
              <a:p>
                <a:pPr>
                  <a:defRPr/>
                </a:pPr>
                <a:r>
                  <a:rPr lang="en-US"/>
                  <a:t>Time</a:t>
                </a:r>
                <a:r>
                  <a:rPr lang="en-US" baseline="0"/>
                  <a:t> (s)</a:t>
                </a:r>
              </a:p>
            </c:rich>
          </c:tx>
          <c:layout/>
          <c:overlay val="0"/>
        </c:title>
        <c:numFmt formatCode="General" sourceLinked="1"/>
        <c:majorTickMark val="out"/>
        <c:minorTickMark val="none"/>
        <c:tickLblPos val="nextTo"/>
        <c:crossAx val="-2142318104"/>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2000" b="0"/>
            </a:pPr>
            <a:r>
              <a:rPr lang="en-US" sz="2000" b="0"/>
              <a:t>Average Time </a:t>
            </a:r>
            <a:r>
              <a:rPr lang="en-US" sz="2000" b="0" baseline="0"/>
              <a:t>per Question Individual n =51 </a:t>
            </a:r>
            <a:endParaRPr lang="en-US" sz="2000" b="0"/>
          </a:p>
        </c:rich>
      </c:tx>
      <c:layout/>
      <c:overlay val="0"/>
    </c:title>
    <c:autoTitleDeleted val="0"/>
    <c:plotArea>
      <c:layout/>
      <c:scatterChart>
        <c:scatterStyle val="lineMarker"/>
        <c:varyColors val="0"/>
        <c:ser>
          <c:idx val="1"/>
          <c:order val="1"/>
          <c:tx>
            <c:v>Attempted</c:v>
          </c:tx>
          <c:spPr>
            <a:ln w="47625">
              <a:noFill/>
            </a:ln>
          </c:spPr>
          <c:yVal>
            <c:numRef>
              <c:f>'Average Time'!$B$54:$Q$54</c:f>
              <c:numCache>
                <c:formatCode>General</c:formatCode>
                <c:ptCount val="16"/>
                <c:pt idx="0">
                  <c:v>111.1132075471698</c:v>
                </c:pt>
                <c:pt idx="1">
                  <c:v>43.96153846153846</c:v>
                </c:pt>
                <c:pt idx="2">
                  <c:v>44.42307692307692</c:v>
                </c:pt>
                <c:pt idx="3">
                  <c:v>69.19230769230769</c:v>
                </c:pt>
                <c:pt idx="4">
                  <c:v>163.8846153846154</c:v>
                </c:pt>
                <c:pt idx="5">
                  <c:v>48.94230769230769</c:v>
                </c:pt>
                <c:pt idx="6">
                  <c:v>40.09615384615384</c:v>
                </c:pt>
                <c:pt idx="7">
                  <c:v>38.05769230769231</c:v>
                </c:pt>
                <c:pt idx="8">
                  <c:v>33.65384615384615</c:v>
                </c:pt>
                <c:pt idx="9">
                  <c:v>30.84615384615385</c:v>
                </c:pt>
                <c:pt idx="10">
                  <c:v>26.38461538461538</c:v>
                </c:pt>
                <c:pt idx="11">
                  <c:v>27.61538461538462</c:v>
                </c:pt>
                <c:pt idx="12">
                  <c:v>66.80392156862744</c:v>
                </c:pt>
                <c:pt idx="13">
                  <c:v>35.13725490196079</c:v>
                </c:pt>
                <c:pt idx="14">
                  <c:v>31.23529411764706</c:v>
                </c:pt>
                <c:pt idx="15">
                  <c:v>37.43137254901961</c:v>
                </c:pt>
              </c:numCache>
            </c:numRef>
          </c:yVal>
          <c:smooth val="0"/>
        </c:ser>
        <c:ser>
          <c:idx val="2"/>
          <c:order val="2"/>
          <c:tx>
            <c:v>Incorrect</c:v>
          </c:tx>
          <c:spPr>
            <a:ln w="47625">
              <a:noFill/>
            </a:ln>
          </c:spPr>
          <c:yVal>
            <c:numRef>
              <c:f>'Average Time Incorrect'!$A$40:$A$56</c:f>
              <c:numCache>
                <c:formatCode>General</c:formatCode>
                <c:ptCount val="17"/>
                <c:pt idx="0">
                  <c:v>70.89583333333333</c:v>
                </c:pt>
                <c:pt idx="1">
                  <c:v>89.73913043478261</c:v>
                </c:pt>
                <c:pt idx="2">
                  <c:v>185.7826086956522</c:v>
                </c:pt>
                <c:pt idx="3">
                  <c:v>71.91304347826087</c:v>
                </c:pt>
                <c:pt idx="4">
                  <c:v>70.7906976744186</c:v>
                </c:pt>
                <c:pt idx="5">
                  <c:v>78.76923076923077</c:v>
                </c:pt>
                <c:pt idx="6">
                  <c:v>88.67647058823529</c:v>
                </c:pt>
                <c:pt idx="7">
                  <c:v>82.78125</c:v>
                </c:pt>
                <c:pt idx="8">
                  <c:v>80.06451612903225</c:v>
                </c:pt>
                <c:pt idx="9">
                  <c:v>96.1</c:v>
                </c:pt>
                <c:pt idx="10">
                  <c:v>71.88888888888889</c:v>
                </c:pt>
                <c:pt idx="11">
                  <c:v>72.11538461538461</c:v>
                </c:pt>
                <c:pt idx="12">
                  <c:v>71.54545454545455</c:v>
                </c:pt>
                <c:pt idx="13">
                  <c:v>80.0909090909091</c:v>
                </c:pt>
                <c:pt idx="14">
                  <c:v>51.61111111111111</c:v>
                </c:pt>
                <c:pt idx="15">
                  <c:v>53.58823529411764</c:v>
                </c:pt>
                <c:pt idx="16">
                  <c:v>54.25</c:v>
                </c:pt>
              </c:numCache>
            </c:numRef>
          </c:yVal>
          <c:smooth val="0"/>
        </c:ser>
        <c:ser>
          <c:idx val="0"/>
          <c:order val="0"/>
          <c:tx>
            <c:v>Correct</c:v>
          </c:tx>
          <c:spPr>
            <a:ln w="47625">
              <a:noFill/>
            </a:ln>
          </c:spPr>
          <c:yVal>
            <c:numRef>
              <c:f>'Average Time Correct'!$A$31:$A$47</c:f>
              <c:numCache>
                <c:formatCode>General</c:formatCode>
                <c:ptCount val="17"/>
                <c:pt idx="0">
                  <c:v>109.5333333333333</c:v>
                </c:pt>
                <c:pt idx="1">
                  <c:v>63.47727272727273</c:v>
                </c:pt>
                <c:pt idx="2">
                  <c:v>41.5</c:v>
                </c:pt>
                <c:pt idx="3">
                  <c:v>56.47727272727273</c:v>
                </c:pt>
                <c:pt idx="4">
                  <c:v>63.90909090909091</c:v>
                </c:pt>
                <c:pt idx="5">
                  <c:v>21.97727272727273</c:v>
                </c:pt>
                <c:pt idx="6">
                  <c:v>21.34090909090909</c:v>
                </c:pt>
                <c:pt idx="7">
                  <c:v>17.18181818181818</c:v>
                </c:pt>
                <c:pt idx="8">
                  <c:v>18.20454545454545</c:v>
                </c:pt>
                <c:pt idx="9">
                  <c:v>21.29545454545455</c:v>
                </c:pt>
                <c:pt idx="10">
                  <c:v>19.38636363636364</c:v>
                </c:pt>
                <c:pt idx="11">
                  <c:v>17.54545454545455</c:v>
                </c:pt>
                <c:pt idx="12">
                  <c:v>30.54545454545455</c:v>
                </c:pt>
                <c:pt idx="13">
                  <c:v>24.22727272727273</c:v>
                </c:pt>
                <c:pt idx="14">
                  <c:v>21.72727272727273</c:v>
                </c:pt>
                <c:pt idx="15">
                  <c:v>16.93023255813954</c:v>
                </c:pt>
                <c:pt idx="16">
                  <c:v>34.41860465116279</c:v>
                </c:pt>
              </c:numCache>
            </c:numRef>
          </c:yVal>
          <c:smooth val="0"/>
        </c:ser>
        <c:dLbls>
          <c:showLegendKey val="0"/>
          <c:showVal val="0"/>
          <c:showCatName val="0"/>
          <c:showSerName val="0"/>
          <c:showPercent val="0"/>
          <c:showBubbleSize val="0"/>
        </c:dLbls>
        <c:axId val="-2142355704"/>
        <c:axId val="-2142349976"/>
      </c:scatterChart>
      <c:valAx>
        <c:axId val="-2142355704"/>
        <c:scaling>
          <c:orientation val="minMax"/>
        </c:scaling>
        <c:delete val="0"/>
        <c:axPos val="b"/>
        <c:title>
          <c:tx>
            <c:rich>
              <a:bodyPr/>
              <a:lstStyle/>
              <a:p>
                <a:pPr>
                  <a:defRPr/>
                </a:pPr>
                <a:r>
                  <a:rPr lang="en-US" sz="1400" b="0"/>
                  <a:t>Attempt</a:t>
                </a:r>
                <a:r>
                  <a:rPr lang="en-US" sz="1400" b="0" baseline="0"/>
                  <a:t> Number</a:t>
                </a:r>
                <a:endParaRPr lang="en-US" sz="1400" b="0"/>
              </a:p>
            </c:rich>
          </c:tx>
          <c:layout/>
          <c:overlay val="0"/>
        </c:title>
        <c:majorTickMark val="out"/>
        <c:minorTickMark val="none"/>
        <c:tickLblPos val="nextTo"/>
        <c:crossAx val="-2142349976"/>
        <c:crosses val="autoZero"/>
        <c:crossBetween val="midCat"/>
      </c:valAx>
      <c:valAx>
        <c:axId val="-2142349976"/>
        <c:scaling>
          <c:orientation val="minMax"/>
          <c:max val="300.0"/>
        </c:scaling>
        <c:delete val="0"/>
        <c:axPos val="l"/>
        <c:majorGridlines/>
        <c:title>
          <c:tx>
            <c:rich>
              <a:bodyPr rot="-5400000" vert="horz"/>
              <a:lstStyle/>
              <a:p>
                <a:pPr>
                  <a:defRPr/>
                </a:pPr>
                <a:r>
                  <a:rPr lang="en-US" sz="1400" b="0"/>
                  <a:t>Time(s)</a:t>
                </a:r>
              </a:p>
            </c:rich>
          </c:tx>
          <c:layout/>
          <c:overlay val="0"/>
        </c:title>
        <c:numFmt formatCode="General" sourceLinked="1"/>
        <c:majorTickMark val="out"/>
        <c:minorTickMark val="none"/>
        <c:tickLblPos val="nextTo"/>
        <c:crossAx val="-2142355704"/>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a:t>
            </a:r>
            <a:r>
              <a:rPr lang="en-US" baseline="0"/>
              <a:t> Attempts As Student Progresses:  n  = 51</a:t>
            </a:r>
            <a:endParaRPr lang="en-US"/>
          </a:p>
        </c:rich>
      </c:tx>
      <c:layout/>
      <c:overlay val="0"/>
    </c:title>
    <c:autoTitleDeleted val="0"/>
    <c:plotArea>
      <c:layout/>
      <c:barChart>
        <c:barDir val="col"/>
        <c:grouping val="clustered"/>
        <c:varyColors val="0"/>
        <c:ser>
          <c:idx val="0"/>
          <c:order val="0"/>
          <c:invertIfNegative val="0"/>
          <c:val>
            <c:numRef>
              <c:f>'Errors with Time'!$B$53:$Y$53</c:f>
              <c:numCache>
                <c:formatCode>General</c:formatCode>
                <c:ptCount val="24"/>
                <c:pt idx="0">
                  <c:v>1.16</c:v>
                </c:pt>
                <c:pt idx="1">
                  <c:v>1.183673469387755</c:v>
                </c:pt>
                <c:pt idx="2">
                  <c:v>1.64</c:v>
                </c:pt>
                <c:pt idx="3">
                  <c:v>1.02</c:v>
                </c:pt>
                <c:pt idx="4">
                  <c:v>1.875</c:v>
                </c:pt>
                <c:pt idx="5">
                  <c:v>1.117647058823529</c:v>
                </c:pt>
                <c:pt idx="6">
                  <c:v>1.34</c:v>
                </c:pt>
                <c:pt idx="7">
                  <c:v>1.76</c:v>
                </c:pt>
                <c:pt idx="8">
                  <c:v>1.3</c:v>
                </c:pt>
                <c:pt idx="9">
                  <c:v>1.0</c:v>
                </c:pt>
                <c:pt idx="10">
                  <c:v>1.02</c:v>
                </c:pt>
                <c:pt idx="11">
                  <c:v>1.0</c:v>
                </c:pt>
                <c:pt idx="12">
                  <c:v>3.659090909090909</c:v>
                </c:pt>
                <c:pt idx="13">
                  <c:v>1.617021276595745</c:v>
                </c:pt>
                <c:pt idx="14">
                  <c:v>2.130434782608695</c:v>
                </c:pt>
                <c:pt idx="15">
                  <c:v>1.446808510638298</c:v>
                </c:pt>
                <c:pt idx="16">
                  <c:v>1.377777777777778</c:v>
                </c:pt>
                <c:pt idx="17">
                  <c:v>1.122448979591837</c:v>
                </c:pt>
                <c:pt idx="18">
                  <c:v>1.414634146341463</c:v>
                </c:pt>
                <c:pt idx="19">
                  <c:v>2.195121951219512</c:v>
                </c:pt>
                <c:pt idx="20">
                  <c:v>1.2</c:v>
                </c:pt>
                <c:pt idx="21">
                  <c:v>1.657142857142857</c:v>
                </c:pt>
                <c:pt idx="22">
                  <c:v>3.0</c:v>
                </c:pt>
                <c:pt idx="23">
                  <c:v>1.0</c:v>
                </c:pt>
              </c:numCache>
            </c:numRef>
          </c:val>
        </c:ser>
        <c:dLbls>
          <c:showLegendKey val="0"/>
          <c:showVal val="0"/>
          <c:showCatName val="0"/>
          <c:showSerName val="0"/>
          <c:showPercent val="0"/>
          <c:showBubbleSize val="0"/>
        </c:dLbls>
        <c:gapWidth val="150"/>
        <c:axId val="-2142398072"/>
        <c:axId val="-2142395128"/>
      </c:barChart>
      <c:catAx>
        <c:axId val="-2142398072"/>
        <c:scaling>
          <c:orientation val="minMax"/>
        </c:scaling>
        <c:delete val="0"/>
        <c:axPos val="b"/>
        <c:title>
          <c:tx>
            <c:rich>
              <a:bodyPr/>
              <a:lstStyle/>
              <a:p>
                <a:pPr>
                  <a:defRPr/>
                </a:pPr>
                <a:r>
                  <a:rPr lang="en-US" sz="1400"/>
                  <a:t>Exercise </a:t>
                </a:r>
                <a:r>
                  <a:rPr lang="en-US" sz="1400" baseline="0"/>
                  <a:t>Attempted</a:t>
                </a:r>
                <a:endParaRPr lang="en-US" sz="1400"/>
              </a:p>
            </c:rich>
          </c:tx>
          <c:layout/>
          <c:overlay val="0"/>
        </c:title>
        <c:majorTickMark val="out"/>
        <c:minorTickMark val="none"/>
        <c:tickLblPos val="nextTo"/>
        <c:crossAx val="-2142395128"/>
        <c:crosses val="autoZero"/>
        <c:auto val="1"/>
        <c:lblAlgn val="ctr"/>
        <c:lblOffset val="100"/>
        <c:noMultiLvlLbl val="0"/>
      </c:catAx>
      <c:valAx>
        <c:axId val="-2142395128"/>
        <c:scaling>
          <c:orientation val="minMax"/>
        </c:scaling>
        <c:delete val="0"/>
        <c:axPos val="l"/>
        <c:majorGridlines/>
        <c:title>
          <c:tx>
            <c:rich>
              <a:bodyPr rot="-5400000" vert="horz"/>
              <a:lstStyle/>
              <a:p>
                <a:pPr>
                  <a:defRPr/>
                </a:pPr>
                <a:r>
                  <a:rPr lang="en-US" sz="1400"/>
                  <a:t>Number of Attempts</a:t>
                </a:r>
              </a:p>
            </c:rich>
          </c:tx>
          <c:layout/>
          <c:overlay val="0"/>
        </c:title>
        <c:numFmt formatCode="General" sourceLinked="1"/>
        <c:majorTickMark val="out"/>
        <c:minorTickMark val="none"/>
        <c:tickLblPos val="nextTo"/>
        <c:crossAx val="-2142398072"/>
        <c:crosses val="autoZero"/>
        <c:crossBetween val="between"/>
      </c:valAx>
    </c:plotArea>
    <c:plotVisOnly val="1"/>
    <c:dispBlanksAs val="gap"/>
    <c:showDLblsOverMax val="0"/>
  </c:chart>
  <c:printSettings>
    <c:headerFooter/>
    <c:pageMargins b="1.0" l="0.75" r="0.75" t="1.0"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Attempts </a:t>
            </a:r>
            <a:r>
              <a:rPr lang="en-US" baseline="0"/>
              <a:t>For Each Question n = 51</a:t>
            </a:r>
          </a:p>
        </c:rich>
      </c:tx>
      <c:layout/>
      <c:overlay val="0"/>
    </c:title>
    <c:autoTitleDeleted val="0"/>
    <c:plotArea>
      <c:layout/>
      <c:barChart>
        <c:barDir val="col"/>
        <c:grouping val="clustered"/>
        <c:varyColors val="0"/>
        <c:ser>
          <c:idx val="0"/>
          <c:order val="0"/>
          <c:invertIfNegative val="0"/>
          <c:val>
            <c:numRef>
              <c:f>'Errors per Question'!$B$54:$Y$54</c:f>
              <c:numCache>
                <c:formatCode>General</c:formatCode>
                <c:ptCount val="24"/>
                <c:pt idx="0">
                  <c:v>1.16</c:v>
                </c:pt>
                <c:pt idx="1">
                  <c:v>1.183673469387755</c:v>
                </c:pt>
                <c:pt idx="2">
                  <c:v>1.64</c:v>
                </c:pt>
                <c:pt idx="3">
                  <c:v>1.04</c:v>
                </c:pt>
                <c:pt idx="4">
                  <c:v>1.75</c:v>
                </c:pt>
                <c:pt idx="5">
                  <c:v>1.098039215686275</c:v>
                </c:pt>
                <c:pt idx="6">
                  <c:v>1.34</c:v>
                </c:pt>
                <c:pt idx="7">
                  <c:v>1.76</c:v>
                </c:pt>
                <c:pt idx="8">
                  <c:v>1.26</c:v>
                </c:pt>
                <c:pt idx="9">
                  <c:v>1.0</c:v>
                </c:pt>
                <c:pt idx="10">
                  <c:v>1.02</c:v>
                </c:pt>
                <c:pt idx="11">
                  <c:v>1.0</c:v>
                </c:pt>
                <c:pt idx="12">
                  <c:v>3.363636363636364</c:v>
                </c:pt>
                <c:pt idx="13">
                  <c:v>1.638297872340425</c:v>
                </c:pt>
                <c:pt idx="14">
                  <c:v>2.173913043478261</c:v>
                </c:pt>
                <c:pt idx="15">
                  <c:v>1.425531914893617</c:v>
                </c:pt>
                <c:pt idx="16">
                  <c:v>1.333333333333333</c:v>
                </c:pt>
                <c:pt idx="17">
                  <c:v>1.122448979591837</c:v>
                </c:pt>
                <c:pt idx="18">
                  <c:v>1.414634146341463</c:v>
                </c:pt>
                <c:pt idx="19">
                  <c:v>2.097560975609756</c:v>
                </c:pt>
                <c:pt idx="20">
                  <c:v>1.171428571428571</c:v>
                </c:pt>
                <c:pt idx="21">
                  <c:v>1.6</c:v>
                </c:pt>
                <c:pt idx="22">
                  <c:v>3.0</c:v>
                </c:pt>
                <c:pt idx="23">
                  <c:v>1.0</c:v>
                </c:pt>
              </c:numCache>
            </c:numRef>
          </c:val>
        </c:ser>
        <c:dLbls>
          <c:showLegendKey val="0"/>
          <c:showVal val="0"/>
          <c:showCatName val="0"/>
          <c:showSerName val="0"/>
          <c:showPercent val="0"/>
          <c:showBubbleSize val="0"/>
        </c:dLbls>
        <c:gapWidth val="150"/>
        <c:axId val="-2142414424"/>
        <c:axId val="-2142411480"/>
      </c:barChart>
      <c:catAx>
        <c:axId val="-2142414424"/>
        <c:scaling>
          <c:orientation val="minMax"/>
        </c:scaling>
        <c:delete val="0"/>
        <c:axPos val="b"/>
        <c:title>
          <c:tx>
            <c:rich>
              <a:bodyPr/>
              <a:lstStyle/>
              <a:p>
                <a:pPr>
                  <a:defRPr/>
                </a:pPr>
                <a:r>
                  <a:rPr lang="en-US" sz="1400"/>
                  <a:t>Question Number</a:t>
                </a:r>
              </a:p>
            </c:rich>
          </c:tx>
          <c:layout/>
          <c:overlay val="0"/>
        </c:title>
        <c:majorTickMark val="out"/>
        <c:minorTickMark val="none"/>
        <c:tickLblPos val="nextTo"/>
        <c:crossAx val="-2142411480"/>
        <c:crosses val="autoZero"/>
        <c:auto val="1"/>
        <c:lblAlgn val="ctr"/>
        <c:lblOffset val="100"/>
        <c:noMultiLvlLbl val="0"/>
      </c:catAx>
      <c:valAx>
        <c:axId val="-2142411480"/>
        <c:scaling>
          <c:orientation val="minMax"/>
        </c:scaling>
        <c:delete val="0"/>
        <c:axPos val="l"/>
        <c:majorGridlines/>
        <c:title>
          <c:tx>
            <c:rich>
              <a:bodyPr rot="-5400000" vert="horz"/>
              <a:lstStyle/>
              <a:p>
                <a:pPr>
                  <a:defRPr/>
                </a:pPr>
                <a:r>
                  <a:rPr lang="en-US" sz="1400"/>
                  <a:t>Number of Attempts</a:t>
                </a:r>
              </a:p>
            </c:rich>
          </c:tx>
          <c:layout/>
          <c:overlay val="0"/>
        </c:title>
        <c:numFmt formatCode="General" sourceLinked="1"/>
        <c:majorTickMark val="out"/>
        <c:minorTickMark val="none"/>
        <c:tickLblPos val="nextTo"/>
        <c:crossAx val="-2142414424"/>
        <c:crosses val="autoZero"/>
        <c:crossBetween val="between"/>
      </c:valAx>
    </c:plotArea>
    <c:plotVisOnly val="1"/>
    <c:dispBlanksAs val="gap"/>
    <c:showDLblsOverMax val="0"/>
  </c:chart>
  <c:printSettings>
    <c:headerFooter/>
    <c:pageMargins b="1.0" l="0.75" r="0.75" t="1.0"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b="0"/>
              <a:t>Post Use Usability Scores</a:t>
            </a:r>
          </a:p>
        </c:rich>
      </c:tx>
      <c:layout/>
      <c:overlay val="0"/>
    </c:title>
    <c:autoTitleDeleted val="0"/>
    <c:plotArea>
      <c:layout/>
      <c:barChart>
        <c:barDir val="col"/>
        <c:grouping val="clustered"/>
        <c:varyColors val="0"/>
        <c:ser>
          <c:idx val="0"/>
          <c:order val="0"/>
          <c:invertIfNegative val="0"/>
          <c:cat>
            <c:strRef>
              <c:f>PostQuestionnaire.csv!$P$57:$U$57</c:f>
              <c:strCache>
                <c:ptCount val="6"/>
                <c:pt idx="0">
                  <c:v>Easy to learn</c:v>
                </c:pt>
                <c:pt idx="1">
                  <c:v>Easy to use</c:v>
                </c:pt>
                <c:pt idx="2">
                  <c:v>Fun to use</c:v>
                </c:pt>
                <c:pt idx="3">
                  <c:v>Would use for CS</c:v>
                </c:pt>
                <c:pt idx="4">
                  <c:v>Would use for other</c:v>
                </c:pt>
                <c:pt idx="5">
                  <c:v>Recommend to a friend</c:v>
                </c:pt>
              </c:strCache>
            </c:strRef>
          </c:cat>
          <c:val>
            <c:numRef>
              <c:f>PostQuestionnaire.csv!$P$55:$U$55</c:f>
              <c:numCache>
                <c:formatCode>General</c:formatCode>
                <c:ptCount val="6"/>
                <c:pt idx="0">
                  <c:v>3.615384615384615</c:v>
                </c:pt>
                <c:pt idx="1">
                  <c:v>3.339622641509434</c:v>
                </c:pt>
                <c:pt idx="2">
                  <c:v>3.415094339622641</c:v>
                </c:pt>
                <c:pt idx="3">
                  <c:v>3.471698113207547</c:v>
                </c:pt>
                <c:pt idx="4">
                  <c:v>3.471698113207547</c:v>
                </c:pt>
                <c:pt idx="5">
                  <c:v>3.26923076923077</c:v>
                </c:pt>
              </c:numCache>
            </c:numRef>
          </c:val>
        </c:ser>
        <c:dLbls>
          <c:showLegendKey val="0"/>
          <c:showVal val="0"/>
          <c:showCatName val="0"/>
          <c:showSerName val="0"/>
          <c:showPercent val="0"/>
          <c:showBubbleSize val="0"/>
        </c:dLbls>
        <c:gapWidth val="150"/>
        <c:axId val="-2142587976"/>
        <c:axId val="-2142585032"/>
      </c:barChart>
      <c:catAx>
        <c:axId val="-2142587976"/>
        <c:scaling>
          <c:orientation val="minMax"/>
        </c:scaling>
        <c:delete val="0"/>
        <c:axPos val="b"/>
        <c:numFmt formatCode="General" sourceLinked="1"/>
        <c:majorTickMark val="out"/>
        <c:minorTickMark val="none"/>
        <c:tickLblPos val="nextTo"/>
        <c:txPr>
          <a:bodyPr/>
          <a:lstStyle/>
          <a:p>
            <a:pPr>
              <a:defRPr sz="1400"/>
            </a:pPr>
            <a:endParaRPr lang="en-US"/>
          </a:p>
        </c:txPr>
        <c:crossAx val="-2142585032"/>
        <c:crosses val="autoZero"/>
        <c:auto val="1"/>
        <c:lblAlgn val="ctr"/>
        <c:lblOffset val="100"/>
        <c:noMultiLvlLbl val="0"/>
      </c:catAx>
      <c:valAx>
        <c:axId val="-2142585032"/>
        <c:scaling>
          <c:orientation val="minMax"/>
          <c:max val="5.0"/>
        </c:scaling>
        <c:delete val="0"/>
        <c:axPos val="l"/>
        <c:majorGridlines/>
        <c:title>
          <c:tx>
            <c:rich>
              <a:bodyPr rot="-5400000" vert="horz"/>
              <a:lstStyle/>
              <a:p>
                <a:pPr>
                  <a:defRPr sz="800"/>
                </a:pPr>
                <a:r>
                  <a:rPr lang="en-US" sz="1400" b="0" i="0" baseline="0">
                    <a:effectLst/>
                  </a:rPr>
                  <a:t>Average Likert Scale Score</a:t>
                </a:r>
                <a:endParaRPr lang="en-US" sz="800" b="0">
                  <a:effectLst/>
                </a:endParaRPr>
              </a:p>
            </c:rich>
          </c:tx>
          <c:layout/>
          <c:overlay val="0"/>
        </c:title>
        <c:numFmt formatCode="General" sourceLinked="1"/>
        <c:majorTickMark val="out"/>
        <c:minorTickMark val="none"/>
        <c:tickLblPos val="nextTo"/>
        <c:crossAx val="-2142587976"/>
        <c:crosses val="autoZero"/>
        <c:crossBetween val="between"/>
      </c:valAx>
    </c:plotArea>
    <c:plotVisOnly val="1"/>
    <c:dispBlanksAs val="gap"/>
    <c:showDLblsOverMax val="0"/>
  </c:chart>
  <c:printSettings>
    <c:headerFooter/>
    <c:pageMargins b="1.0" l="0.75" r="0.75" t="1.0"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Time </a:t>
            </a:r>
            <a:r>
              <a:rPr lang="en-US" baseline="0"/>
              <a:t>per Question While Collaborating</a:t>
            </a:r>
            <a:endParaRPr lang="en-US"/>
          </a:p>
        </c:rich>
      </c:tx>
      <c:layout/>
      <c:overlay val="0"/>
    </c:title>
    <c:autoTitleDeleted val="0"/>
    <c:plotArea>
      <c:layout/>
      <c:scatterChart>
        <c:scatterStyle val="lineMarker"/>
        <c:varyColors val="0"/>
        <c:ser>
          <c:idx val="3"/>
          <c:order val="3"/>
          <c:tx>
            <c:v>Attempted</c:v>
          </c:tx>
          <c:spPr>
            <a:ln w="47625">
              <a:noFill/>
            </a:ln>
          </c:spPr>
          <c:yVal>
            <c:numRef>
              <c:f>'Average Time'!$B$54:$Q$54</c:f>
              <c:numCache>
                <c:formatCode>General</c:formatCode>
                <c:ptCount val="16"/>
                <c:pt idx="0">
                  <c:v>111.1132075471698</c:v>
                </c:pt>
                <c:pt idx="1">
                  <c:v>43.96153846153846</c:v>
                </c:pt>
                <c:pt idx="2">
                  <c:v>44.42307692307692</c:v>
                </c:pt>
                <c:pt idx="3">
                  <c:v>69.19230769230769</c:v>
                </c:pt>
                <c:pt idx="4">
                  <c:v>163.8846153846154</c:v>
                </c:pt>
                <c:pt idx="5">
                  <c:v>48.94230769230769</c:v>
                </c:pt>
                <c:pt idx="6">
                  <c:v>40.09615384615384</c:v>
                </c:pt>
                <c:pt idx="7">
                  <c:v>38.05769230769231</c:v>
                </c:pt>
                <c:pt idx="8">
                  <c:v>33.65384615384615</c:v>
                </c:pt>
                <c:pt idx="9">
                  <c:v>30.84615384615385</c:v>
                </c:pt>
                <c:pt idx="10">
                  <c:v>26.38461538461538</c:v>
                </c:pt>
                <c:pt idx="11">
                  <c:v>27.61538461538462</c:v>
                </c:pt>
                <c:pt idx="12">
                  <c:v>66.80392156862744</c:v>
                </c:pt>
                <c:pt idx="13">
                  <c:v>35.13725490196079</c:v>
                </c:pt>
                <c:pt idx="14">
                  <c:v>31.23529411764706</c:v>
                </c:pt>
                <c:pt idx="15">
                  <c:v>37.43137254901961</c:v>
                </c:pt>
              </c:numCache>
            </c:numRef>
          </c:yVal>
          <c:smooth val="0"/>
        </c:ser>
        <c:ser>
          <c:idx val="4"/>
          <c:order val="4"/>
          <c:tx>
            <c:v>Incorrect</c:v>
          </c:tx>
          <c:spPr>
            <a:ln w="47625">
              <a:noFill/>
            </a:ln>
          </c:spPr>
          <c:yVal>
            <c:numRef>
              <c:f>'Average Time Incorrect'!$A$40:$A$56</c:f>
              <c:numCache>
                <c:formatCode>General</c:formatCode>
                <c:ptCount val="17"/>
                <c:pt idx="0">
                  <c:v>70.89583333333333</c:v>
                </c:pt>
                <c:pt idx="1">
                  <c:v>89.73913043478261</c:v>
                </c:pt>
                <c:pt idx="2">
                  <c:v>185.7826086956522</c:v>
                </c:pt>
                <c:pt idx="3">
                  <c:v>71.91304347826087</c:v>
                </c:pt>
                <c:pt idx="4">
                  <c:v>70.7906976744186</c:v>
                </c:pt>
                <c:pt idx="5">
                  <c:v>78.76923076923077</c:v>
                </c:pt>
                <c:pt idx="6">
                  <c:v>88.67647058823529</c:v>
                </c:pt>
                <c:pt idx="7">
                  <c:v>82.78125</c:v>
                </c:pt>
                <c:pt idx="8">
                  <c:v>80.06451612903225</c:v>
                </c:pt>
                <c:pt idx="9">
                  <c:v>96.1</c:v>
                </c:pt>
                <c:pt idx="10">
                  <c:v>71.88888888888889</c:v>
                </c:pt>
                <c:pt idx="11">
                  <c:v>72.11538461538461</c:v>
                </c:pt>
                <c:pt idx="12">
                  <c:v>71.54545454545455</c:v>
                </c:pt>
                <c:pt idx="13">
                  <c:v>80.0909090909091</c:v>
                </c:pt>
                <c:pt idx="14">
                  <c:v>51.61111111111111</c:v>
                </c:pt>
                <c:pt idx="15">
                  <c:v>53.58823529411764</c:v>
                </c:pt>
                <c:pt idx="16">
                  <c:v>54.25</c:v>
                </c:pt>
              </c:numCache>
            </c:numRef>
          </c:yVal>
          <c:smooth val="0"/>
        </c:ser>
        <c:ser>
          <c:idx val="5"/>
          <c:order val="5"/>
          <c:tx>
            <c:v>Correct</c:v>
          </c:tx>
          <c:spPr>
            <a:ln w="47625">
              <a:noFill/>
            </a:ln>
          </c:spPr>
          <c:yVal>
            <c:numRef>
              <c:f>'Average Time Correct'!$A$31:$A$47</c:f>
              <c:numCache>
                <c:formatCode>General</c:formatCode>
                <c:ptCount val="17"/>
                <c:pt idx="0">
                  <c:v>109.5333333333333</c:v>
                </c:pt>
                <c:pt idx="1">
                  <c:v>63.47727272727273</c:v>
                </c:pt>
                <c:pt idx="2">
                  <c:v>41.5</c:v>
                </c:pt>
                <c:pt idx="3">
                  <c:v>56.47727272727273</c:v>
                </c:pt>
                <c:pt idx="4">
                  <c:v>63.90909090909091</c:v>
                </c:pt>
                <c:pt idx="5">
                  <c:v>21.97727272727273</c:v>
                </c:pt>
                <c:pt idx="6">
                  <c:v>21.34090909090909</c:v>
                </c:pt>
                <c:pt idx="7">
                  <c:v>17.18181818181818</c:v>
                </c:pt>
                <c:pt idx="8">
                  <c:v>18.20454545454545</c:v>
                </c:pt>
                <c:pt idx="9">
                  <c:v>21.29545454545455</c:v>
                </c:pt>
                <c:pt idx="10">
                  <c:v>19.38636363636364</c:v>
                </c:pt>
                <c:pt idx="11">
                  <c:v>17.54545454545455</c:v>
                </c:pt>
                <c:pt idx="12">
                  <c:v>30.54545454545455</c:v>
                </c:pt>
                <c:pt idx="13">
                  <c:v>24.22727272727273</c:v>
                </c:pt>
                <c:pt idx="14">
                  <c:v>21.72727272727273</c:v>
                </c:pt>
                <c:pt idx="15">
                  <c:v>16.93023255813954</c:v>
                </c:pt>
                <c:pt idx="16">
                  <c:v>34.41860465116279</c:v>
                </c:pt>
              </c:numCache>
            </c:numRef>
          </c:yVal>
          <c:smooth val="0"/>
        </c:ser>
        <c:ser>
          <c:idx val="1"/>
          <c:order val="1"/>
          <c:tx>
            <c:v>Attempted Collab.</c:v>
          </c:tx>
          <c:spPr>
            <a:ln w="47625">
              <a:noFill/>
            </a:ln>
          </c:spPr>
          <c:yVal>
            <c:numRef>
              <c:f>'Average Time Collab Correct'!$A$27:$A$42</c:f>
              <c:numCache>
                <c:formatCode>General</c:formatCode>
                <c:ptCount val="16"/>
                <c:pt idx="0">
                  <c:v>173.0625</c:v>
                </c:pt>
                <c:pt idx="1">
                  <c:v>90.0</c:v>
                </c:pt>
                <c:pt idx="2">
                  <c:v>56.06666666666667</c:v>
                </c:pt>
                <c:pt idx="3">
                  <c:v>45.57142857142857</c:v>
                </c:pt>
                <c:pt idx="4">
                  <c:v>77.64285714285714</c:v>
                </c:pt>
                <c:pt idx="5">
                  <c:v>69.07692307692308</c:v>
                </c:pt>
                <c:pt idx="6">
                  <c:v>24.25</c:v>
                </c:pt>
                <c:pt idx="7">
                  <c:v>20.41666666666667</c:v>
                </c:pt>
                <c:pt idx="8">
                  <c:v>24.16666666666667</c:v>
                </c:pt>
                <c:pt idx="9">
                  <c:v>15.91666666666667</c:v>
                </c:pt>
                <c:pt idx="10">
                  <c:v>15.33333333333333</c:v>
                </c:pt>
                <c:pt idx="11">
                  <c:v>30.66666666666667</c:v>
                </c:pt>
                <c:pt idx="12">
                  <c:v>39.91666666666666</c:v>
                </c:pt>
                <c:pt idx="13">
                  <c:v>33.58333333333334</c:v>
                </c:pt>
                <c:pt idx="14">
                  <c:v>33.83333333333334</c:v>
                </c:pt>
                <c:pt idx="15">
                  <c:v>27.0</c:v>
                </c:pt>
              </c:numCache>
            </c:numRef>
          </c:yVal>
          <c:smooth val="0"/>
        </c:ser>
        <c:ser>
          <c:idx val="2"/>
          <c:order val="2"/>
          <c:tx>
            <c:v>Incorrect Collab.</c:v>
          </c:tx>
          <c:spPr>
            <a:ln w="47625">
              <a:noFill/>
            </a:ln>
          </c:spPr>
          <c:yVal>
            <c:numRef>
              <c:f>'Average Time Collab Incorrect'!$A$25:$A$41</c:f>
              <c:numCache>
                <c:formatCode>General</c:formatCode>
                <c:ptCount val="17"/>
                <c:pt idx="0">
                  <c:v>82.91666666666667</c:v>
                </c:pt>
                <c:pt idx="1">
                  <c:v>67.25</c:v>
                </c:pt>
                <c:pt idx="2">
                  <c:v>148.0</c:v>
                </c:pt>
                <c:pt idx="3">
                  <c:v>89.0</c:v>
                </c:pt>
                <c:pt idx="4">
                  <c:v>72.2</c:v>
                </c:pt>
                <c:pt idx="5">
                  <c:v>92.375</c:v>
                </c:pt>
                <c:pt idx="6">
                  <c:v>61.5</c:v>
                </c:pt>
                <c:pt idx="7">
                  <c:v>124.3333333333333</c:v>
                </c:pt>
                <c:pt idx="8">
                  <c:v>70.2</c:v>
                </c:pt>
                <c:pt idx="9">
                  <c:v>71.2</c:v>
                </c:pt>
                <c:pt idx="10">
                  <c:v>30.2</c:v>
                </c:pt>
                <c:pt idx="11">
                  <c:v>84.0</c:v>
                </c:pt>
                <c:pt idx="12">
                  <c:v>51.5</c:v>
                </c:pt>
                <c:pt idx="13">
                  <c:v>110.6666666666667</c:v>
                </c:pt>
                <c:pt idx="15">
                  <c:v>139.0</c:v>
                </c:pt>
                <c:pt idx="16">
                  <c:v>72.0</c:v>
                </c:pt>
              </c:numCache>
            </c:numRef>
          </c:yVal>
          <c:smooth val="0"/>
        </c:ser>
        <c:ser>
          <c:idx val="0"/>
          <c:order val="0"/>
          <c:tx>
            <c:v>Correct Collab</c:v>
          </c:tx>
          <c:spPr>
            <a:ln w="47625">
              <a:noFill/>
            </a:ln>
          </c:spPr>
          <c:yVal>
            <c:numRef>
              <c:f>'Average time collab'!$A$48:$A$64</c:f>
              <c:numCache>
                <c:formatCode>General</c:formatCode>
                <c:ptCount val="17"/>
                <c:pt idx="0">
                  <c:v>175.75</c:v>
                </c:pt>
                <c:pt idx="1">
                  <c:v>87.4</c:v>
                </c:pt>
                <c:pt idx="2">
                  <c:v>75.33333333333333</c:v>
                </c:pt>
                <c:pt idx="3">
                  <c:v>55.6</c:v>
                </c:pt>
                <c:pt idx="4">
                  <c:v>69.93333333333334</c:v>
                </c:pt>
                <c:pt idx="5">
                  <c:v>41.71428571428572</c:v>
                </c:pt>
                <c:pt idx="6">
                  <c:v>58.42857142857143</c:v>
                </c:pt>
                <c:pt idx="7">
                  <c:v>37.64285714285714</c:v>
                </c:pt>
                <c:pt idx="8">
                  <c:v>31.07142857142857</c:v>
                </c:pt>
                <c:pt idx="9">
                  <c:v>26.15384615384615</c:v>
                </c:pt>
                <c:pt idx="10">
                  <c:v>21.84615384615385</c:v>
                </c:pt>
                <c:pt idx="11">
                  <c:v>30.15384615384615</c:v>
                </c:pt>
                <c:pt idx="12">
                  <c:v>27.46153846153846</c:v>
                </c:pt>
                <c:pt idx="13">
                  <c:v>27.07692307692308</c:v>
                </c:pt>
                <c:pt idx="14">
                  <c:v>34.07692307692308</c:v>
                </c:pt>
                <c:pt idx="15">
                  <c:v>23.92307692307692</c:v>
                </c:pt>
                <c:pt idx="16">
                  <c:v>25.38461538461538</c:v>
                </c:pt>
              </c:numCache>
            </c:numRef>
          </c:yVal>
          <c:smooth val="0"/>
        </c:ser>
        <c:dLbls>
          <c:showLegendKey val="0"/>
          <c:showVal val="0"/>
          <c:showCatName val="0"/>
          <c:showSerName val="0"/>
          <c:showPercent val="0"/>
          <c:showBubbleSize val="0"/>
        </c:dLbls>
        <c:axId val="-2142596744"/>
        <c:axId val="-2142634920"/>
      </c:scatterChart>
      <c:valAx>
        <c:axId val="-2142596744"/>
        <c:scaling>
          <c:orientation val="minMax"/>
        </c:scaling>
        <c:delete val="0"/>
        <c:axPos val="b"/>
        <c:title>
          <c:tx>
            <c:rich>
              <a:bodyPr/>
              <a:lstStyle/>
              <a:p>
                <a:pPr>
                  <a:defRPr/>
                </a:pPr>
                <a:r>
                  <a:rPr lang="en-US"/>
                  <a:t>Attempt</a:t>
                </a:r>
                <a:r>
                  <a:rPr lang="en-US" baseline="0"/>
                  <a:t> Number</a:t>
                </a:r>
                <a:endParaRPr lang="en-US"/>
              </a:p>
            </c:rich>
          </c:tx>
          <c:layout/>
          <c:overlay val="0"/>
        </c:title>
        <c:majorTickMark val="out"/>
        <c:minorTickMark val="none"/>
        <c:tickLblPos val="nextTo"/>
        <c:crossAx val="-2142634920"/>
        <c:crosses val="autoZero"/>
        <c:crossBetween val="midCat"/>
      </c:valAx>
      <c:valAx>
        <c:axId val="-2142634920"/>
        <c:scaling>
          <c:orientation val="minMax"/>
        </c:scaling>
        <c:delete val="0"/>
        <c:axPos val="l"/>
        <c:majorGridlines/>
        <c:title>
          <c:tx>
            <c:rich>
              <a:bodyPr rot="-5400000" vert="horz"/>
              <a:lstStyle/>
              <a:p>
                <a:pPr>
                  <a:defRPr/>
                </a:pPr>
                <a:r>
                  <a:rPr lang="en-US"/>
                  <a:t>Time(s)</a:t>
                </a:r>
              </a:p>
            </c:rich>
          </c:tx>
          <c:layout/>
          <c:overlay val="0"/>
        </c:title>
        <c:numFmt formatCode="General" sourceLinked="1"/>
        <c:majorTickMark val="out"/>
        <c:minorTickMark val="none"/>
        <c:tickLblPos val="nextTo"/>
        <c:crossAx val="-2142596744"/>
        <c:crosses val="autoZero"/>
        <c:crossBetween val="midCat"/>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a:t>
            </a:r>
            <a:r>
              <a:rPr lang="en-US" baseline="0"/>
              <a:t> Attempts As Student Progresses:  n  = 16</a:t>
            </a:r>
            <a:endParaRPr lang="en-US"/>
          </a:p>
        </c:rich>
      </c:tx>
      <c:layout/>
      <c:overlay val="0"/>
    </c:title>
    <c:autoTitleDeleted val="0"/>
    <c:plotArea>
      <c:layout/>
      <c:barChart>
        <c:barDir val="col"/>
        <c:grouping val="clustered"/>
        <c:varyColors val="0"/>
        <c:ser>
          <c:idx val="0"/>
          <c:order val="0"/>
          <c:tx>
            <c:strRef>
              <c:f>'Errors with Time Collab'!$A$18</c:f>
              <c:strCache>
                <c:ptCount val="1"/>
              </c:strCache>
            </c:strRef>
          </c:tx>
          <c:invertIfNegative val="0"/>
          <c:val>
            <c:numRef>
              <c:f>'Errors with Time Collab'!$B$18:$W$18</c:f>
              <c:numCache>
                <c:formatCode>General</c:formatCode>
                <c:ptCount val="22"/>
                <c:pt idx="0">
                  <c:v>1.071428571428571</c:v>
                </c:pt>
                <c:pt idx="1">
                  <c:v>1.363636363636364</c:v>
                </c:pt>
                <c:pt idx="2">
                  <c:v>1.272727272727273</c:v>
                </c:pt>
                <c:pt idx="3">
                  <c:v>1.166666666666667</c:v>
                </c:pt>
                <c:pt idx="4">
                  <c:v>1.111111111111111</c:v>
                </c:pt>
                <c:pt idx="5">
                  <c:v>1.083333333333333</c:v>
                </c:pt>
                <c:pt idx="6">
                  <c:v>1.083333333333333</c:v>
                </c:pt>
                <c:pt idx="7">
                  <c:v>1.166666666666667</c:v>
                </c:pt>
                <c:pt idx="8">
                  <c:v>1.083333333333333</c:v>
                </c:pt>
                <c:pt idx="9">
                  <c:v>1.0</c:v>
                </c:pt>
                <c:pt idx="10">
                  <c:v>1.076923076923077</c:v>
                </c:pt>
                <c:pt idx="11">
                  <c:v>1.0</c:v>
                </c:pt>
                <c:pt idx="12">
                  <c:v>1.727272727272727</c:v>
                </c:pt>
                <c:pt idx="13">
                  <c:v>1.272727272727273</c:v>
                </c:pt>
                <c:pt idx="14">
                  <c:v>1.083333333333333</c:v>
                </c:pt>
                <c:pt idx="15">
                  <c:v>1.083333333333333</c:v>
                </c:pt>
                <c:pt idx="16">
                  <c:v>1.0</c:v>
                </c:pt>
                <c:pt idx="17">
                  <c:v>1.076923076923077</c:v>
                </c:pt>
                <c:pt idx="18">
                  <c:v>1.272727272727273</c:v>
                </c:pt>
                <c:pt idx="19">
                  <c:v>2.0</c:v>
                </c:pt>
                <c:pt idx="20">
                  <c:v>1.444444444444444</c:v>
                </c:pt>
                <c:pt idx="21">
                  <c:v>3.571428571428572</c:v>
                </c:pt>
              </c:numCache>
            </c:numRef>
          </c:val>
        </c:ser>
        <c:dLbls>
          <c:showLegendKey val="0"/>
          <c:showVal val="0"/>
          <c:showCatName val="0"/>
          <c:showSerName val="0"/>
          <c:showPercent val="0"/>
          <c:showBubbleSize val="0"/>
        </c:dLbls>
        <c:gapWidth val="150"/>
        <c:axId val="-2117274920"/>
        <c:axId val="-2139863448"/>
      </c:barChart>
      <c:catAx>
        <c:axId val="-2117274920"/>
        <c:scaling>
          <c:orientation val="minMax"/>
        </c:scaling>
        <c:delete val="0"/>
        <c:axPos val="b"/>
        <c:title>
          <c:tx>
            <c:rich>
              <a:bodyPr/>
              <a:lstStyle/>
              <a:p>
                <a:pPr>
                  <a:defRPr/>
                </a:pPr>
                <a:r>
                  <a:rPr lang="en-US" sz="1400"/>
                  <a:t>Exercise </a:t>
                </a:r>
                <a:r>
                  <a:rPr lang="en-US" sz="1400" baseline="0"/>
                  <a:t>Attempted</a:t>
                </a:r>
                <a:endParaRPr lang="en-US" sz="1400"/>
              </a:p>
            </c:rich>
          </c:tx>
          <c:layout/>
          <c:overlay val="0"/>
        </c:title>
        <c:majorTickMark val="out"/>
        <c:minorTickMark val="none"/>
        <c:tickLblPos val="nextTo"/>
        <c:crossAx val="-2139863448"/>
        <c:crosses val="autoZero"/>
        <c:auto val="1"/>
        <c:lblAlgn val="ctr"/>
        <c:lblOffset val="100"/>
        <c:noMultiLvlLbl val="0"/>
      </c:catAx>
      <c:valAx>
        <c:axId val="-2139863448"/>
        <c:scaling>
          <c:orientation val="minMax"/>
        </c:scaling>
        <c:delete val="0"/>
        <c:axPos val="l"/>
        <c:majorGridlines/>
        <c:title>
          <c:tx>
            <c:rich>
              <a:bodyPr rot="-5400000" vert="horz"/>
              <a:lstStyle/>
              <a:p>
                <a:pPr>
                  <a:defRPr/>
                </a:pPr>
                <a:r>
                  <a:rPr lang="en-US" sz="1400"/>
                  <a:t>Number of Attempts</a:t>
                </a:r>
              </a:p>
            </c:rich>
          </c:tx>
          <c:layout/>
          <c:overlay val="0"/>
        </c:title>
        <c:numFmt formatCode="General" sourceLinked="1"/>
        <c:majorTickMark val="out"/>
        <c:minorTickMark val="none"/>
        <c:tickLblPos val="nextTo"/>
        <c:crossAx val="-2117274920"/>
        <c:crosses val="autoZero"/>
        <c:crossBetween val="between"/>
      </c:valAx>
    </c:plotArea>
    <c:plotVisOnly val="1"/>
    <c:dispBlanksAs val="gap"/>
    <c:showDLblsOverMax val="0"/>
  </c:chart>
  <c:printSettings>
    <c:headerFooter/>
    <c:pageMargins b="1.0" l="0.75" r="0.75" t="1.0"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Attempts </a:t>
            </a:r>
            <a:r>
              <a:rPr lang="en-US" baseline="0"/>
              <a:t>For Each Question n = 16</a:t>
            </a:r>
          </a:p>
        </c:rich>
      </c:tx>
      <c:layout/>
      <c:overlay val="0"/>
    </c:title>
    <c:autoTitleDeleted val="0"/>
    <c:plotArea>
      <c:layout/>
      <c:barChart>
        <c:barDir val="col"/>
        <c:grouping val="clustered"/>
        <c:varyColors val="0"/>
        <c:ser>
          <c:idx val="1"/>
          <c:order val="0"/>
          <c:spPr>
            <a:solidFill>
              <a:schemeClr val="tx2">
                <a:lumMod val="60000"/>
                <a:lumOff val="40000"/>
              </a:schemeClr>
            </a:solidFill>
          </c:spPr>
          <c:invertIfNegative val="0"/>
          <c:val>
            <c:numRef>
              <c:f>'Errors per Question Collab'!$B$18:$W$18</c:f>
              <c:numCache>
                <c:formatCode>General</c:formatCode>
                <c:ptCount val="22"/>
                <c:pt idx="0">
                  <c:v>1.071428571428571</c:v>
                </c:pt>
                <c:pt idx="1">
                  <c:v>1.272727272727273</c:v>
                </c:pt>
                <c:pt idx="2">
                  <c:v>1.181818181818182</c:v>
                </c:pt>
                <c:pt idx="3">
                  <c:v>1.166666666666667</c:v>
                </c:pt>
                <c:pt idx="4">
                  <c:v>1.111111111111111</c:v>
                </c:pt>
                <c:pt idx="5">
                  <c:v>1.083333333333333</c:v>
                </c:pt>
                <c:pt idx="6">
                  <c:v>1.083333333333333</c:v>
                </c:pt>
                <c:pt idx="7">
                  <c:v>1.166666666666667</c:v>
                </c:pt>
                <c:pt idx="8">
                  <c:v>1.083333333333333</c:v>
                </c:pt>
                <c:pt idx="9">
                  <c:v>1.0</c:v>
                </c:pt>
                <c:pt idx="10">
                  <c:v>1.076923076923077</c:v>
                </c:pt>
                <c:pt idx="11">
                  <c:v>1.0</c:v>
                </c:pt>
                <c:pt idx="12">
                  <c:v>1.727272727272727</c:v>
                </c:pt>
                <c:pt idx="13">
                  <c:v>1.272727272727273</c:v>
                </c:pt>
                <c:pt idx="14">
                  <c:v>1.083333333333333</c:v>
                </c:pt>
                <c:pt idx="15">
                  <c:v>1.083333333333333</c:v>
                </c:pt>
                <c:pt idx="16">
                  <c:v>1.0</c:v>
                </c:pt>
                <c:pt idx="17">
                  <c:v>1.076923076923077</c:v>
                </c:pt>
                <c:pt idx="18">
                  <c:v>1.272727272727273</c:v>
                </c:pt>
                <c:pt idx="19">
                  <c:v>1.8</c:v>
                </c:pt>
                <c:pt idx="20">
                  <c:v>1.444444444444444</c:v>
                </c:pt>
                <c:pt idx="21">
                  <c:v>2.285714285714286</c:v>
                </c:pt>
              </c:numCache>
            </c:numRef>
          </c:val>
        </c:ser>
        <c:dLbls>
          <c:showLegendKey val="0"/>
          <c:showVal val="0"/>
          <c:showCatName val="0"/>
          <c:showSerName val="0"/>
          <c:showPercent val="0"/>
          <c:showBubbleSize val="0"/>
        </c:dLbls>
        <c:gapWidth val="150"/>
        <c:axId val="-2116095128"/>
        <c:axId val="-2137889240"/>
      </c:barChart>
      <c:catAx>
        <c:axId val="-2116095128"/>
        <c:scaling>
          <c:orientation val="minMax"/>
        </c:scaling>
        <c:delete val="0"/>
        <c:axPos val="b"/>
        <c:title>
          <c:tx>
            <c:rich>
              <a:bodyPr/>
              <a:lstStyle/>
              <a:p>
                <a:pPr>
                  <a:defRPr/>
                </a:pPr>
                <a:r>
                  <a:rPr lang="en-US" sz="1400"/>
                  <a:t>Question Number</a:t>
                </a:r>
              </a:p>
            </c:rich>
          </c:tx>
          <c:layout/>
          <c:overlay val="0"/>
        </c:title>
        <c:majorTickMark val="out"/>
        <c:minorTickMark val="none"/>
        <c:tickLblPos val="nextTo"/>
        <c:crossAx val="-2137889240"/>
        <c:crosses val="autoZero"/>
        <c:auto val="1"/>
        <c:lblAlgn val="ctr"/>
        <c:lblOffset val="100"/>
        <c:noMultiLvlLbl val="0"/>
      </c:catAx>
      <c:valAx>
        <c:axId val="-2137889240"/>
        <c:scaling>
          <c:orientation val="minMax"/>
        </c:scaling>
        <c:delete val="0"/>
        <c:axPos val="l"/>
        <c:majorGridlines/>
        <c:title>
          <c:tx>
            <c:rich>
              <a:bodyPr rot="-5400000" vert="horz"/>
              <a:lstStyle/>
              <a:p>
                <a:pPr>
                  <a:defRPr/>
                </a:pPr>
                <a:r>
                  <a:rPr lang="en-US" sz="1400"/>
                  <a:t>Number of Attempts</a:t>
                </a:r>
              </a:p>
            </c:rich>
          </c:tx>
          <c:layout/>
          <c:overlay val="0"/>
        </c:title>
        <c:numFmt formatCode="General" sourceLinked="1"/>
        <c:majorTickMark val="out"/>
        <c:minorTickMark val="none"/>
        <c:tickLblPos val="nextTo"/>
        <c:crossAx val="-2116095128"/>
        <c:crosses val="autoZero"/>
        <c:crossBetween val="between"/>
      </c:valAx>
    </c:plotArea>
    <c:plotVisOnly val="1"/>
    <c:dispBlanksAs val="gap"/>
    <c:showDLblsOverMax val="0"/>
  </c:chart>
  <c:printSettings>
    <c:headerFooter/>
    <c:pageMargins b="1.0" l="0.75" r="0.75" t="1.0"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a:t>
            </a:r>
            <a:r>
              <a:rPr lang="en-US" baseline="0"/>
              <a:t> Attempts As Student Progresses</a:t>
            </a:r>
            <a:endParaRPr lang="en-US"/>
          </a:p>
        </c:rich>
      </c:tx>
      <c:layout/>
      <c:overlay val="0"/>
    </c:title>
    <c:autoTitleDeleted val="0"/>
    <c:plotArea>
      <c:layout/>
      <c:barChart>
        <c:barDir val="col"/>
        <c:grouping val="clustered"/>
        <c:varyColors val="0"/>
        <c:ser>
          <c:idx val="1"/>
          <c:order val="1"/>
          <c:tx>
            <c:v>Individual</c:v>
          </c:tx>
          <c:invertIfNegative val="0"/>
          <c:val>
            <c:numRef>
              <c:f>'Errors with Time'!$B$53:$W$53</c:f>
              <c:numCache>
                <c:formatCode>General</c:formatCode>
                <c:ptCount val="22"/>
                <c:pt idx="0">
                  <c:v>1.16</c:v>
                </c:pt>
                <c:pt idx="1">
                  <c:v>1.183673469387755</c:v>
                </c:pt>
                <c:pt idx="2">
                  <c:v>1.64</c:v>
                </c:pt>
                <c:pt idx="3">
                  <c:v>1.02</c:v>
                </c:pt>
                <c:pt idx="4">
                  <c:v>1.875</c:v>
                </c:pt>
                <c:pt idx="5">
                  <c:v>1.117647058823529</c:v>
                </c:pt>
                <c:pt idx="6">
                  <c:v>1.34</c:v>
                </c:pt>
                <c:pt idx="7">
                  <c:v>1.76</c:v>
                </c:pt>
                <c:pt idx="8">
                  <c:v>1.3</c:v>
                </c:pt>
                <c:pt idx="9">
                  <c:v>1.0</c:v>
                </c:pt>
                <c:pt idx="10">
                  <c:v>1.02</c:v>
                </c:pt>
                <c:pt idx="11">
                  <c:v>1.0</c:v>
                </c:pt>
                <c:pt idx="12">
                  <c:v>3.659090909090909</c:v>
                </c:pt>
                <c:pt idx="13">
                  <c:v>1.617021276595745</c:v>
                </c:pt>
                <c:pt idx="14">
                  <c:v>2.130434782608695</c:v>
                </c:pt>
                <c:pt idx="15">
                  <c:v>1.446808510638298</c:v>
                </c:pt>
                <c:pt idx="16">
                  <c:v>1.377777777777778</c:v>
                </c:pt>
                <c:pt idx="17">
                  <c:v>1.122448979591837</c:v>
                </c:pt>
                <c:pt idx="18">
                  <c:v>1.414634146341463</c:v>
                </c:pt>
                <c:pt idx="19">
                  <c:v>2.195121951219512</c:v>
                </c:pt>
                <c:pt idx="20">
                  <c:v>1.2</c:v>
                </c:pt>
                <c:pt idx="21">
                  <c:v>1.657142857142857</c:v>
                </c:pt>
              </c:numCache>
            </c:numRef>
          </c:val>
        </c:ser>
        <c:ser>
          <c:idx val="0"/>
          <c:order val="0"/>
          <c:tx>
            <c:v>Collaborative</c:v>
          </c:tx>
          <c:invertIfNegative val="0"/>
          <c:val>
            <c:numRef>
              <c:f>'Errors with Time Collab'!$B$18:$W$18</c:f>
              <c:numCache>
                <c:formatCode>General</c:formatCode>
                <c:ptCount val="22"/>
                <c:pt idx="0">
                  <c:v>1.071428571428571</c:v>
                </c:pt>
                <c:pt idx="1">
                  <c:v>1.363636363636364</c:v>
                </c:pt>
                <c:pt idx="2">
                  <c:v>1.272727272727273</c:v>
                </c:pt>
                <c:pt idx="3">
                  <c:v>1.166666666666667</c:v>
                </c:pt>
                <c:pt idx="4">
                  <c:v>1.111111111111111</c:v>
                </c:pt>
                <c:pt idx="5">
                  <c:v>1.083333333333333</c:v>
                </c:pt>
                <c:pt idx="6">
                  <c:v>1.083333333333333</c:v>
                </c:pt>
                <c:pt idx="7">
                  <c:v>1.166666666666667</c:v>
                </c:pt>
                <c:pt idx="8">
                  <c:v>1.083333333333333</c:v>
                </c:pt>
                <c:pt idx="9">
                  <c:v>1.0</c:v>
                </c:pt>
                <c:pt idx="10">
                  <c:v>1.076923076923077</c:v>
                </c:pt>
                <c:pt idx="11">
                  <c:v>1.0</c:v>
                </c:pt>
                <c:pt idx="12">
                  <c:v>1.727272727272727</c:v>
                </c:pt>
                <c:pt idx="13">
                  <c:v>1.272727272727273</c:v>
                </c:pt>
                <c:pt idx="14">
                  <c:v>1.083333333333333</c:v>
                </c:pt>
                <c:pt idx="15">
                  <c:v>1.083333333333333</c:v>
                </c:pt>
                <c:pt idx="16">
                  <c:v>1.0</c:v>
                </c:pt>
                <c:pt idx="17">
                  <c:v>1.076923076923077</c:v>
                </c:pt>
                <c:pt idx="18">
                  <c:v>1.272727272727273</c:v>
                </c:pt>
                <c:pt idx="19">
                  <c:v>2.0</c:v>
                </c:pt>
                <c:pt idx="20">
                  <c:v>1.444444444444444</c:v>
                </c:pt>
                <c:pt idx="21">
                  <c:v>3.571428571428572</c:v>
                </c:pt>
              </c:numCache>
            </c:numRef>
          </c:val>
        </c:ser>
        <c:dLbls>
          <c:showLegendKey val="0"/>
          <c:showVal val="0"/>
          <c:showCatName val="0"/>
          <c:showSerName val="0"/>
          <c:showPercent val="0"/>
          <c:showBubbleSize val="0"/>
        </c:dLbls>
        <c:gapWidth val="150"/>
        <c:axId val="-2120664440"/>
        <c:axId val="-2133149912"/>
      </c:barChart>
      <c:catAx>
        <c:axId val="-2120664440"/>
        <c:scaling>
          <c:orientation val="minMax"/>
        </c:scaling>
        <c:delete val="0"/>
        <c:axPos val="b"/>
        <c:title>
          <c:tx>
            <c:rich>
              <a:bodyPr/>
              <a:lstStyle/>
              <a:p>
                <a:pPr>
                  <a:defRPr/>
                </a:pPr>
                <a:r>
                  <a:rPr lang="en-US" sz="1400"/>
                  <a:t>Exercise </a:t>
                </a:r>
                <a:r>
                  <a:rPr lang="en-US" sz="1400" baseline="0"/>
                  <a:t>Attempted</a:t>
                </a:r>
                <a:endParaRPr lang="en-US" sz="1400"/>
              </a:p>
            </c:rich>
          </c:tx>
          <c:layout/>
          <c:overlay val="0"/>
        </c:title>
        <c:majorTickMark val="out"/>
        <c:minorTickMark val="none"/>
        <c:tickLblPos val="nextTo"/>
        <c:crossAx val="-2133149912"/>
        <c:crosses val="autoZero"/>
        <c:auto val="1"/>
        <c:lblAlgn val="ctr"/>
        <c:lblOffset val="100"/>
        <c:noMultiLvlLbl val="0"/>
      </c:catAx>
      <c:valAx>
        <c:axId val="-2133149912"/>
        <c:scaling>
          <c:orientation val="minMax"/>
        </c:scaling>
        <c:delete val="0"/>
        <c:axPos val="l"/>
        <c:majorGridlines/>
        <c:title>
          <c:tx>
            <c:rich>
              <a:bodyPr rot="-5400000" vert="horz"/>
              <a:lstStyle/>
              <a:p>
                <a:pPr>
                  <a:defRPr/>
                </a:pPr>
                <a:r>
                  <a:rPr lang="en-US" sz="1400"/>
                  <a:t>Number of Attempts</a:t>
                </a:r>
              </a:p>
            </c:rich>
          </c:tx>
          <c:layout/>
          <c:overlay val="0"/>
        </c:title>
        <c:numFmt formatCode="General" sourceLinked="1"/>
        <c:majorTickMark val="out"/>
        <c:minorTickMark val="none"/>
        <c:tickLblPos val="nextTo"/>
        <c:crossAx val="-2120664440"/>
        <c:crosses val="autoZero"/>
        <c:crossBetween val="between"/>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Average Attempts </a:t>
            </a:r>
            <a:r>
              <a:rPr lang="en-US" baseline="0"/>
              <a:t>For Each Question</a:t>
            </a:r>
          </a:p>
        </c:rich>
      </c:tx>
      <c:layout/>
      <c:overlay val="0"/>
    </c:title>
    <c:autoTitleDeleted val="0"/>
    <c:plotArea>
      <c:layout/>
      <c:barChart>
        <c:barDir val="col"/>
        <c:grouping val="clustered"/>
        <c:varyColors val="0"/>
        <c:ser>
          <c:idx val="0"/>
          <c:order val="1"/>
          <c:tx>
            <c:v>Individual</c:v>
          </c:tx>
          <c:spPr>
            <a:solidFill>
              <a:schemeClr val="accent2"/>
            </a:solidFill>
          </c:spPr>
          <c:invertIfNegative val="0"/>
          <c:val>
            <c:numRef>
              <c:f>'Errors per Question'!$B$54:$W$54</c:f>
              <c:numCache>
                <c:formatCode>General</c:formatCode>
                <c:ptCount val="22"/>
                <c:pt idx="0">
                  <c:v>1.16</c:v>
                </c:pt>
                <c:pt idx="1">
                  <c:v>1.183673469387755</c:v>
                </c:pt>
                <c:pt idx="2">
                  <c:v>1.64</c:v>
                </c:pt>
                <c:pt idx="3">
                  <c:v>1.04</c:v>
                </c:pt>
                <c:pt idx="4">
                  <c:v>1.75</c:v>
                </c:pt>
                <c:pt idx="5">
                  <c:v>1.098039215686275</c:v>
                </c:pt>
                <c:pt idx="6">
                  <c:v>1.34</c:v>
                </c:pt>
                <c:pt idx="7">
                  <c:v>1.76</c:v>
                </c:pt>
                <c:pt idx="8">
                  <c:v>1.26</c:v>
                </c:pt>
                <c:pt idx="9">
                  <c:v>1.0</c:v>
                </c:pt>
                <c:pt idx="10">
                  <c:v>1.02</c:v>
                </c:pt>
                <c:pt idx="11">
                  <c:v>1.0</c:v>
                </c:pt>
                <c:pt idx="12">
                  <c:v>3.363636363636364</c:v>
                </c:pt>
                <c:pt idx="13">
                  <c:v>1.638297872340425</c:v>
                </c:pt>
                <c:pt idx="14">
                  <c:v>2.173913043478261</c:v>
                </c:pt>
                <c:pt idx="15">
                  <c:v>1.425531914893617</c:v>
                </c:pt>
                <c:pt idx="16">
                  <c:v>1.333333333333333</c:v>
                </c:pt>
                <c:pt idx="17">
                  <c:v>1.122448979591837</c:v>
                </c:pt>
                <c:pt idx="18">
                  <c:v>1.414634146341463</c:v>
                </c:pt>
                <c:pt idx="19">
                  <c:v>2.097560975609756</c:v>
                </c:pt>
                <c:pt idx="20">
                  <c:v>1.171428571428571</c:v>
                </c:pt>
                <c:pt idx="21">
                  <c:v>1.6</c:v>
                </c:pt>
              </c:numCache>
            </c:numRef>
          </c:val>
        </c:ser>
        <c:ser>
          <c:idx val="1"/>
          <c:order val="0"/>
          <c:tx>
            <c:v>Collaborative</c:v>
          </c:tx>
          <c:spPr>
            <a:solidFill>
              <a:schemeClr val="tx2">
                <a:lumMod val="60000"/>
                <a:lumOff val="40000"/>
              </a:schemeClr>
            </a:solidFill>
          </c:spPr>
          <c:invertIfNegative val="0"/>
          <c:val>
            <c:numRef>
              <c:f>'Errors per Question Collab'!$B$18:$W$18</c:f>
              <c:numCache>
                <c:formatCode>General</c:formatCode>
                <c:ptCount val="22"/>
                <c:pt idx="0">
                  <c:v>1.071428571428571</c:v>
                </c:pt>
                <c:pt idx="1">
                  <c:v>1.272727272727273</c:v>
                </c:pt>
                <c:pt idx="2">
                  <c:v>1.181818181818182</c:v>
                </c:pt>
                <c:pt idx="3">
                  <c:v>1.166666666666667</c:v>
                </c:pt>
                <c:pt idx="4">
                  <c:v>1.111111111111111</c:v>
                </c:pt>
                <c:pt idx="5">
                  <c:v>1.083333333333333</c:v>
                </c:pt>
                <c:pt idx="6">
                  <c:v>1.083333333333333</c:v>
                </c:pt>
                <c:pt idx="7">
                  <c:v>1.166666666666667</c:v>
                </c:pt>
                <c:pt idx="8">
                  <c:v>1.083333333333333</c:v>
                </c:pt>
                <c:pt idx="9">
                  <c:v>1.0</c:v>
                </c:pt>
                <c:pt idx="10">
                  <c:v>1.076923076923077</c:v>
                </c:pt>
                <c:pt idx="11">
                  <c:v>1.0</c:v>
                </c:pt>
                <c:pt idx="12">
                  <c:v>1.727272727272727</c:v>
                </c:pt>
                <c:pt idx="13">
                  <c:v>1.272727272727273</c:v>
                </c:pt>
                <c:pt idx="14">
                  <c:v>1.083333333333333</c:v>
                </c:pt>
                <c:pt idx="15">
                  <c:v>1.083333333333333</c:v>
                </c:pt>
                <c:pt idx="16">
                  <c:v>1.0</c:v>
                </c:pt>
                <c:pt idx="17">
                  <c:v>1.076923076923077</c:v>
                </c:pt>
                <c:pt idx="18">
                  <c:v>1.272727272727273</c:v>
                </c:pt>
                <c:pt idx="19">
                  <c:v>1.8</c:v>
                </c:pt>
                <c:pt idx="20">
                  <c:v>1.444444444444444</c:v>
                </c:pt>
                <c:pt idx="21">
                  <c:v>2.285714285714286</c:v>
                </c:pt>
              </c:numCache>
            </c:numRef>
          </c:val>
        </c:ser>
        <c:dLbls>
          <c:showLegendKey val="0"/>
          <c:showVal val="0"/>
          <c:showCatName val="0"/>
          <c:showSerName val="0"/>
          <c:showPercent val="0"/>
          <c:showBubbleSize val="0"/>
        </c:dLbls>
        <c:gapWidth val="150"/>
        <c:axId val="-2100583544"/>
        <c:axId val="-2101154040"/>
      </c:barChart>
      <c:catAx>
        <c:axId val="-2100583544"/>
        <c:scaling>
          <c:orientation val="minMax"/>
        </c:scaling>
        <c:delete val="0"/>
        <c:axPos val="b"/>
        <c:title>
          <c:tx>
            <c:rich>
              <a:bodyPr/>
              <a:lstStyle/>
              <a:p>
                <a:pPr>
                  <a:defRPr/>
                </a:pPr>
                <a:r>
                  <a:rPr lang="en-US" sz="1400"/>
                  <a:t>Question Number</a:t>
                </a:r>
              </a:p>
            </c:rich>
          </c:tx>
          <c:layout/>
          <c:overlay val="0"/>
        </c:title>
        <c:majorTickMark val="out"/>
        <c:minorTickMark val="none"/>
        <c:tickLblPos val="nextTo"/>
        <c:crossAx val="-2101154040"/>
        <c:crosses val="autoZero"/>
        <c:auto val="1"/>
        <c:lblAlgn val="ctr"/>
        <c:lblOffset val="100"/>
        <c:noMultiLvlLbl val="0"/>
      </c:catAx>
      <c:valAx>
        <c:axId val="-2101154040"/>
        <c:scaling>
          <c:orientation val="minMax"/>
        </c:scaling>
        <c:delete val="0"/>
        <c:axPos val="l"/>
        <c:majorGridlines/>
        <c:title>
          <c:tx>
            <c:rich>
              <a:bodyPr rot="-5400000" vert="horz"/>
              <a:lstStyle/>
              <a:p>
                <a:pPr>
                  <a:defRPr/>
                </a:pPr>
                <a:r>
                  <a:rPr lang="en-US" sz="1400"/>
                  <a:t>Number of Attempts</a:t>
                </a:r>
              </a:p>
            </c:rich>
          </c:tx>
          <c:layout/>
          <c:overlay val="0"/>
        </c:title>
        <c:numFmt formatCode="General" sourceLinked="1"/>
        <c:majorTickMark val="out"/>
        <c:minorTickMark val="none"/>
        <c:tickLblPos val="nextTo"/>
        <c:crossAx val="-2100583544"/>
        <c:crosses val="autoZero"/>
        <c:crossBetween val="between"/>
      </c:valAx>
    </c:plotArea>
    <c:legend>
      <c:legendPos val="r"/>
      <c:layout/>
      <c:overlay val="0"/>
    </c:legend>
    <c:plotVisOnly val="1"/>
    <c:dispBlanksAs val="gap"/>
    <c:showDLblsOverMax val="0"/>
  </c:chart>
  <c:printSettings>
    <c:headerFooter/>
    <c:pageMargins b="1.0" l="0.75" r="0.75" t="1.0"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ser>
          <c:idx val="0"/>
          <c:order val="0"/>
          <c:tx>
            <c:strRef>
              <c:f>'Errors per Question Collab'!$E$21</c:f>
              <c:strCache>
                <c:ptCount val="1"/>
                <c:pt idx="0">
                  <c:v>Collaborative</c:v>
                </c:pt>
              </c:strCache>
            </c:strRef>
          </c:tx>
          <c:invertIfNegative val="0"/>
          <c:cat>
            <c:strRef>
              <c:f>'Errors per Question Collab'!$F$20:$G$20</c:f>
              <c:strCache>
                <c:ptCount val="2"/>
                <c:pt idx="0">
                  <c:v>Average per Question Number</c:v>
                </c:pt>
                <c:pt idx="1">
                  <c:v>Average per Exercise Attempted</c:v>
                </c:pt>
              </c:strCache>
            </c:strRef>
          </c:cat>
          <c:val>
            <c:numRef>
              <c:f>'Errors per Question Collab'!$F$21:$G$21</c:f>
              <c:numCache>
                <c:formatCode>General</c:formatCode>
                <c:ptCount val="2"/>
                <c:pt idx="0">
                  <c:v>1.242900786082604</c:v>
                </c:pt>
                <c:pt idx="1">
                  <c:v>1.318697716</c:v>
                </c:pt>
              </c:numCache>
            </c:numRef>
          </c:val>
        </c:ser>
        <c:ser>
          <c:idx val="1"/>
          <c:order val="1"/>
          <c:tx>
            <c:strRef>
              <c:f>'Errors per Question Collab'!$E$22</c:f>
              <c:strCache>
                <c:ptCount val="1"/>
                <c:pt idx="0">
                  <c:v>Individual</c:v>
                </c:pt>
              </c:strCache>
            </c:strRef>
          </c:tx>
          <c:invertIfNegative val="0"/>
          <c:cat>
            <c:strRef>
              <c:f>'Errors per Question Collab'!$F$20:$G$20</c:f>
              <c:strCache>
                <c:ptCount val="2"/>
                <c:pt idx="0">
                  <c:v>Average per Question Number</c:v>
                </c:pt>
                <c:pt idx="1">
                  <c:v>Average per Exercise Attempted</c:v>
                </c:pt>
              </c:strCache>
            </c:strRef>
          </c:cat>
          <c:val>
            <c:numRef>
              <c:f>'Errors per Question Collab'!$F$22:$G$22</c:f>
              <c:numCache>
                <c:formatCode>General</c:formatCode>
                <c:ptCount val="2"/>
                <c:pt idx="0">
                  <c:v>1.524687412</c:v>
                </c:pt>
                <c:pt idx="1">
                  <c:v>1.551533405</c:v>
                </c:pt>
              </c:numCache>
            </c:numRef>
          </c:val>
        </c:ser>
        <c:dLbls>
          <c:showLegendKey val="0"/>
          <c:showVal val="0"/>
          <c:showCatName val="0"/>
          <c:showSerName val="0"/>
          <c:showPercent val="0"/>
          <c:showBubbleSize val="0"/>
        </c:dLbls>
        <c:gapWidth val="150"/>
        <c:axId val="-2100646920"/>
        <c:axId val="-2116862104"/>
      </c:barChart>
      <c:catAx>
        <c:axId val="-2100646920"/>
        <c:scaling>
          <c:orientation val="minMax"/>
        </c:scaling>
        <c:delete val="0"/>
        <c:axPos val="b"/>
        <c:majorTickMark val="out"/>
        <c:minorTickMark val="none"/>
        <c:tickLblPos val="nextTo"/>
        <c:txPr>
          <a:bodyPr/>
          <a:lstStyle/>
          <a:p>
            <a:pPr>
              <a:defRPr sz="1400"/>
            </a:pPr>
            <a:endParaRPr lang="en-US"/>
          </a:p>
        </c:txPr>
        <c:crossAx val="-2116862104"/>
        <c:crosses val="autoZero"/>
        <c:auto val="1"/>
        <c:lblAlgn val="ctr"/>
        <c:lblOffset val="100"/>
        <c:noMultiLvlLbl val="0"/>
      </c:catAx>
      <c:valAx>
        <c:axId val="-2116862104"/>
        <c:scaling>
          <c:orientation val="minMax"/>
        </c:scaling>
        <c:delete val="0"/>
        <c:axPos val="l"/>
        <c:majorGridlines/>
        <c:title>
          <c:tx>
            <c:rich>
              <a:bodyPr rot="-5400000" vert="horz"/>
              <a:lstStyle/>
              <a:p>
                <a:pPr>
                  <a:defRPr/>
                </a:pPr>
                <a:r>
                  <a:rPr lang="en-US" sz="1400" b="0"/>
                  <a:t>Number of Attempts</a:t>
                </a:r>
              </a:p>
            </c:rich>
          </c:tx>
          <c:layout/>
          <c:overlay val="0"/>
        </c:title>
        <c:numFmt formatCode="General" sourceLinked="1"/>
        <c:majorTickMark val="out"/>
        <c:minorTickMark val="none"/>
        <c:tickLblPos val="nextTo"/>
        <c:crossAx val="-2100646920"/>
        <c:crosses val="autoZero"/>
        <c:crossBetween val="between"/>
      </c:valAx>
    </c:plotArea>
    <c:legend>
      <c:legendPos val="r"/>
      <c:layout/>
      <c:overlay val="0"/>
      <c:txPr>
        <a:bodyPr/>
        <a:lstStyle/>
        <a:p>
          <a:pPr>
            <a:defRPr sz="1400"/>
          </a:pPr>
          <a:endParaRPr lang="en-US"/>
        </a:p>
      </c:txPr>
    </c:legend>
    <c:plotVisOnly val="1"/>
    <c:dispBlanksAs val="gap"/>
    <c:showDLblsOverMax val="0"/>
  </c:chart>
  <c:printSettings>
    <c:headerFooter/>
    <c:pageMargins b="1.0" l="0.75" r="0.75" t="1.0"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1" Type="http://schemas.openxmlformats.org/officeDocument/2006/relationships/chart" Target="../charts/chart22.xml"/><Relationship Id="rId12" Type="http://schemas.openxmlformats.org/officeDocument/2006/relationships/chart" Target="../charts/chart23.xml"/><Relationship Id="rId13" Type="http://schemas.openxmlformats.org/officeDocument/2006/relationships/chart" Target="../charts/chart24.xml"/><Relationship Id="rId14" Type="http://schemas.openxmlformats.org/officeDocument/2006/relationships/chart" Target="../charts/chart25.xml"/><Relationship Id="rId15" Type="http://schemas.openxmlformats.org/officeDocument/2006/relationships/chart" Target="../charts/chart26.xml"/><Relationship Id="rId16" Type="http://schemas.openxmlformats.org/officeDocument/2006/relationships/chart" Target="../charts/chart27.xml"/><Relationship Id="rId17" Type="http://schemas.openxmlformats.org/officeDocument/2006/relationships/chart" Target="../charts/chart28.xml"/><Relationship Id="rId18" Type="http://schemas.openxmlformats.org/officeDocument/2006/relationships/chart" Target="../charts/chart29.xml"/><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chart" Target="../charts/chart15.xml"/><Relationship Id="rId5" Type="http://schemas.openxmlformats.org/officeDocument/2006/relationships/chart" Target="../charts/chart16.xml"/><Relationship Id="rId6" Type="http://schemas.openxmlformats.org/officeDocument/2006/relationships/chart" Target="../charts/chart17.xml"/><Relationship Id="rId7" Type="http://schemas.openxmlformats.org/officeDocument/2006/relationships/chart" Target="../charts/chart18.xml"/><Relationship Id="rId8" Type="http://schemas.openxmlformats.org/officeDocument/2006/relationships/chart" Target="../charts/chart19.xml"/><Relationship Id="rId9" Type="http://schemas.openxmlformats.org/officeDocument/2006/relationships/chart" Target="../charts/chart20.xml"/><Relationship Id="rId10"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11</xdr:col>
      <xdr:colOff>298450</xdr:colOff>
      <xdr:row>31</xdr:row>
      <xdr:rowOff>146050</xdr:rowOff>
    </xdr:from>
    <xdr:to>
      <xdr:col>16</xdr:col>
      <xdr:colOff>679450</xdr:colOff>
      <xdr:row>46</xdr:row>
      <xdr:rowOff>31750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107950</xdr:colOff>
      <xdr:row>46</xdr:row>
      <xdr:rowOff>133350</xdr:rowOff>
    </xdr:from>
    <xdr:to>
      <xdr:col>17</xdr:col>
      <xdr:colOff>488950</xdr:colOff>
      <xdr:row>61</xdr:row>
      <xdr:rowOff>19050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133350</xdr:colOff>
      <xdr:row>61</xdr:row>
      <xdr:rowOff>44450</xdr:rowOff>
    </xdr:from>
    <xdr:to>
      <xdr:col>17</xdr:col>
      <xdr:colOff>514350</xdr:colOff>
      <xdr:row>75</xdr:row>
      <xdr:rowOff>120650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571500</xdr:colOff>
      <xdr:row>48</xdr:row>
      <xdr:rowOff>152400</xdr:rowOff>
    </xdr:from>
    <xdr:to>
      <xdr:col>17</xdr:col>
      <xdr:colOff>749300</xdr:colOff>
      <xdr:row>76</xdr:row>
      <xdr:rowOff>101600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819150</xdr:colOff>
      <xdr:row>54</xdr:row>
      <xdr:rowOff>69850</xdr:rowOff>
    </xdr:from>
    <xdr:to>
      <xdr:col>14</xdr:col>
      <xdr:colOff>438150</xdr:colOff>
      <xdr:row>68</xdr:row>
      <xdr:rowOff>146050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50800</xdr:colOff>
      <xdr:row>25</xdr:row>
      <xdr:rowOff>19050</xdr:rowOff>
    </xdr:from>
    <xdr:to>
      <xdr:col>16</xdr:col>
      <xdr:colOff>508000</xdr:colOff>
      <xdr:row>45</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393700</xdr:colOff>
      <xdr:row>26</xdr:row>
      <xdr:rowOff>88900</xdr:rowOff>
    </xdr:from>
    <xdr:to>
      <xdr:col>16</xdr:col>
      <xdr:colOff>0</xdr:colOff>
      <xdr:row>53</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393700</xdr:colOff>
      <xdr:row>20</xdr:row>
      <xdr:rowOff>19050</xdr:rowOff>
    </xdr:from>
    <xdr:to>
      <xdr:col>13</xdr:col>
      <xdr:colOff>596900</xdr:colOff>
      <xdr:row>39</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584200</xdr:colOff>
      <xdr:row>34</xdr:row>
      <xdr:rowOff>38100</xdr:rowOff>
    </xdr:from>
    <xdr:to>
      <xdr:col>11</xdr:col>
      <xdr:colOff>787400</xdr:colOff>
      <xdr:row>59</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812800</xdr:colOff>
      <xdr:row>13</xdr:row>
      <xdr:rowOff>19050</xdr:rowOff>
    </xdr:from>
    <xdr:to>
      <xdr:col>13</xdr:col>
      <xdr:colOff>355600</xdr:colOff>
      <xdr:row>27</xdr:row>
      <xdr:rowOff>95250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114300</xdr:colOff>
      <xdr:row>20</xdr:row>
      <xdr:rowOff>57150</xdr:rowOff>
    </xdr:from>
    <xdr:to>
      <xdr:col>20</xdr:col>
      <xdr:colOff>457200</xdr:colOff>
      <xdr:row>42</xdr:row>
      <xdr:rowOff>177800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660400</xdr:colOff>
      <xdr:row>21</xdr:row>
      <xdr:rowOff>12700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45</xdr:row>
      <xdr:rowOff>139700</xdr:rowOff>
    </xdr:from>
    <xdr:to>
      <xdr:col>9</xdr:col>
      <xdr:colOff>787400</xdr:colOff>
      <xdr:row>67</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812800</xdr:colOff>
      <xdr:row>45</xdr:row>
      <xdr:rowOff>139700</xdr:rowOff>
    </xdr:from>
    <xdr:to>
      <xdr:col>19</xdr:col>
      <xdr:colOff>787400</xdr:colOff>
      <xdr:row>67</xdr:row>
      <xdr:rowOff>165100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67</xdr:row>
      <xdr:rowOff>152400</xdr:rowOff>
    </xdr:from>
    <xdr:to>
      <xdr:col>9</xdr:col>
      <xdr:colOff>787400</xdr:colOff>
      <xdr:row>87</xdr:row>
      <xdr:rowOff>177800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800100</xdr:colOff>
      <xdr:row>165</xdr:row>
      <xdr:rowOff>88900</xdr:rowOff>
    </xdr:from>
    <xdr:to>
      <xdr:col>19</xdr:col>
      <xdr:colOff>114300</xdr:colOff>
      <xdr:row>186</xdr:row>
      <xdr:rowOff>25400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xdr:colOff>
      <xdr:row>89</xdr:row>
      <xdr:rowOff>0</xdr:rowOff>
    </xdr:from>
    <xdr:to>
      <xdr:col>9</xdr:col>
      <xdr:colOff>787400</xdr:colOff>
      <xdr:row>111</xdr:row>
      <xdr:rowOff>12700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812800</xdr:colOff>
      <xdr:row>85</xdr:row>
      <xdr:rowOff>12700</xdr:rowOff>
    </xdr:from>
    <xdr:to>
      <xdr:col>20</xdr:col>
      <xdr:colOff>787400</xdr:colOff>
      <xdr:row>107</xdr:row>
      <xdr:rowOff>38100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111</xdr:row>
      <xdr:rowOff>12700</xdr:rowOff>
    </xdr:from>
    <xdr:to>
      <xdr:col>9</xdr:col>
      <xdr:colOff>787400</xdr:colOff>
      <xdr:row>131</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139700</xdr:colOff>
      <xdr:row>165</xdr:row>
      <xdr:rowOff>76200</xdr:rowOff>
    </xdr:from>
    <xdr:to>
      <xdr:col>29</xdr:col>
      <xdr:colOff>101600</xdr:colOff>
      <xdr:row>186</xdr:row>
      <xdr:rowOff>12700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165</xdr:row>
      <xdr:rowOff>50800</xdr:rowOff>
    </xdr:from>
    <xdr:to>
      <xdr:col>9</xdr:col>
      <xdr:colOff>787400</xdr:colOff>
      <xdr:row>185</xdr:row>
      <xdr:rowOff>165100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203</xdr:row>
      <xdr:rowOff>127000</xdr:rowOff>
    </xdr:from>
    <xdr:to>
      <xdr:col>10</xdr:col>
      <xdr:colOff>0</xdr:colOff>
      <xdr:row>224</xdr:row>
      <xdr:rowOff>63500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21</xdr:row>
      <xdr:rowOff>139700</xdr:rowOff>
    </xdr:from>
    <xdr:to>
      <xdr:col>13</xdr:col>
      <xdr:colOff>1460500</xdr:colOff>
      <xdr:row>54</xdr:row>
      <xdr:rowOff>177800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131</xdr:row>
      <xdr:rowOff>0</xdr:rowOff>
    </xdr:from>
    <xdr:to>
      <xdr:col>16</xdr:col>
      <xdr:colOff>50800</xdr:colOff>
      <xdr:row>165</xdr:row>
      <xdr:rowOff>60960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812800</xdr:colOff>
      <xdr:row>189</xdr:row>
      <xdr:rowOff>76200</xdr:rowOff>
    </xdr:from>
    <xdr:to>
      <xdr:col>19</xdr:col>
      <xdr:colOff>127000</xdr:colOff>
      <xdr:row>210</xdr:row>
      <xdr:rowOff>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25400</xdr:colOff>
      <xdr:row>203</xdr:row>
      <xdr:rowOff>127000</xdr:rowOff>
    </xdr:from>
    <xdr:to>
      <xdr:col>19</xdr:col>
      <xdr:colOff>228600</xdr:colOff>
      <xdr:row>224</xdr:row>
      <xdr:rowOff>63500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12700</xdr:colOff>
      <xdr:row>186</xdr:row>
      <xdr:rowOff>12700</xdr:rowOff>
    </xdr:from>
    <xdr:to>
      <xdr:col>9</xdr:col>
      <xdr:colOff>800100</xdr:colOff>
      <xdr:row>206</xdr:row>
      <xdr:rowOff>127000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25400</xdr:colOff>
      <xdr:row>224</xdr:row>
      <xdr:rowOff>63500</xdr:rowOff>
    </xdr:from>
    <xdr:to>
      <xdr:col>10</xdr:col>
      <xdr:colOff>25400</xdr:colOff>
      <xdr:row>245</xdr:row>
      <xdr:rowOff>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38100</xdr:colOff>
      <xdr:row>245</xdr:row>
      <xdr:rowOff>0</xdr:rowOff>
    </xdr:from>
    <xdr:to>
      <xdr:col>10</xdr:col>
      <xdr:colOff>25400</xdr:colOff>
      <xdr:row>267</xdr:row>
      <xdr:rowOff>12700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9"/>
  <sheetViews>
    <sheetView tabSelected="1" topLeftCell="A37" workbookViewId="0">
      <selection activeCell="S63" sqref="S63"/>
    </sheetView>
  </sheetViews>
  <sheetFormatPr baseColWidth="10" defaultColWidth="11" defaultRowHeight="15" x14ac:dyDescent="0"/>
  <sheetData>
    <row r="1" spans="1:3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row>
    <row r="2" spans="1:33">
      <c r="A2">
        <f>COUNTIF(Sheet1!$A$2:$A$17, B1)</f>
        <v>0</v>
      </c>
      <c r="B2">
        <v>87</v>
      </c>
      <c r="C2">
        <v>5</v>
      </c>
      <c r="D2">
        <v>5</v>
      </c>
      <c r="E2">
        <v>5</v>
      </c>
      <c r="F2">
        <v>5</v>
      </c>
      <c r="G2">
        <v>5</v>
      </c>
      <c r="H2">
        <v>2</v>
      </c>
      <c r="I2">
        <v>2</v>
      </c>
      <c r="J2">
        <v>2</v>
      </c>
      <c r="K2">
        <v>2</v>
      </c>
      <c r="L2">
        <v>5</v>
      </c>
      <c r="M2">
        <v>5</v>
      </c>
      <c r="N2">
        <v>5</v>
      </c>
      <c r="O2">
        <v>5</v>
      </c>
      <c r="P2">
        <v>4</v>
      </c>
      <c r="Q2">
        <v>2</v>
      </c>
      <c r="R2">
        <v>4</v>
      </c>
      <c r="S2">
        <v>4</v>
      </c>
      <c r="T2">
        <v>4</v>
      </c>
      <c r="U2">
        <v>4</v>
      </c>
      <c r="V2">
        <v>3</v>
      </c>
      <c r="W2" t="s">
        <v>219</v>
      </c>
      <c r="X2" t="s">
        <v>220</v>
      </c>
      <c r="Y2" t="s">
        <v>221</v>
      </c>
      <c r="Z2" t="s">
        <v>29</v>
      </c>
      <c r="AA2" t="s">
        <v>222</v>
      </c>
      <c r="AB2" t="s">
        <v>30</v>
      </c>
    </row>
    <row r="3" spans="1:33">
      <c r="A3">
        <f>COUNTIF(Sheet1!$A$2:$A$17, B2)</f>
        <v>0</v>
      </c>
      <c r="B3">
        <v>86</v>
      </c>
      <c r="C3">
        <v>5</v>
      </c>
      <c r="D3">
        <v>5</v>
      </c>
      <c r="E3">
        <v>5</v>
      </c>
      <c r="F3">
        <v>5</v>
      </c>
      <c r="G3">
        <v>5</v>
      </c>
      <c r="H3">
        <v>5</v>
      </c>
      <c r="I3">
        <v>5</v>
      </c>
      <c r="J3">
        <v>5</v>
      </c>
      <c r="K3">
        <v>5</v>
      </c>
      <c r="L3">
        <v>5</v>
      </c>
      <c r="M3">
        <v>4</v>
      </c>
      <c r="N3">
        <v>4</v>
      </c>
      <c r="O3">
        <v>4</v>
      </c>
      <c r="P3">
        <v>5</v>
      </c>
      <c r="Q3">
        <v>5</v>
      </c>
      <c r="R3">
        <v>3</v>
      </c>
      <c r="S3">
        <v>4</v>
      </c>
      <c r="T3">
        <v>3</v>
      </c>
      <c r="U3">
        <v>4</v>
      </c>
      <c r="V3">
        <v>3</v>
      </c>
      <c r="W3" t="s">
        <v>265</v>
      </c>
      <c r="X3" t="s">
        <v>27</v>
      </c>
      <c r="Y3" t="s">
        <v>266</v>
      </c>
      <c r="Z3" t="s">
        <v>267</v>
      </c>
      <c r="AA3" t="s">
        <v>268</v>
      </c>
      <c r="AB3" t="s">
        <v>27</v>
      </c>
      <c r="AC3" t="s">
        <v>269</v>
      </c>
      <c r="AD3" t="s">
        <v>30</v>
      </c>
    </row>
    <row r="4" spans="1:33">
      <c r="A4">
        <f>COUNTIF(Sheet1!$A$2:$A$17, B3)</f>
        <v>0</v>
      </c>
      <c r="B4">
        <v>85</v>
      </c>
      <c r="C4">
        <v>4</v>
      </c>
      <c r="D4">
        <v>5</v>
      </c>
      <c r="E4">
        <v>4</v>
      </c>
      <c r="F4">
        <v>4</v>
      </c>
      <c r="G4">
        <v>4</v>
      </c>
      <c r="H4">
        <v>4</v>
      </c>
      <c r="I4">
        <v>3</v>
      </c>
      <c r="J4">
        <v>4</v>
      </c>
      <c r="K4">
        <v>4</v>
      </c>
      <c r="L4">
        <v>4</v>
      </c>
      <c r="M4">
        <v>4</v>
      </c>
      <c r="N4">
        <v>4</v>
      </c>
      <c r="O4">
        <v>4</v>
      </c>
      <c r="P4">
        <v>5</v>
      </c>
      <c r="Q4">
        <v>5</v>
      </c>
      <c r="R4">
        <v>4</v>
      </c>
      <c r="S4">
        <v>4</v>
      </c>
      <c r="T4">
        <v>4</v>
      </c>
      <c r="U4">
        <v>3</v>
      </c>
      <c r="V4">
        <v>3</v>
      </c>
      <c r="W4" t="s">
        <v>270</v>
      </c>
      <c r="X4" t="s">
        <v>271</v>
      </c>
      <c r="Y4" t="s">
        <v>272</v>
      </c>
      <c r="Z4" t="s">
        <v>273</v>
      </c>
      <c r="AA4" t="s">
        <v>274</v>
      </c>
      <c r="AB4" t="s">
        <v>275</v>
      </c>
      <c r="AC4" t="s">
        <v>30</v>
      </c>
    </row>
    <row r="5" spans="1:33">
      <c r="A5">
        <f>COUNTIF(Sheet1!$A$2:$A$17, B4)</f>
        <v>0</v>
      </c>
      <c r="B5">
        <v>83</v>
      </c>
      <c r="C5">
        <v>3</v>
      </c>
      <c r="D5">
        <v>3</v>
      </c>
      <c r="E5">
        <v>3</v>
      </c>
      <c r="F5">
        <v>4</v>
      </c>
      <c r="G5">
        <v>4</v>
      </c>
      <c r="H5">
        <v>4</v>
      </c>
      <c r="I5">
        <v>4</v>
      </c>
      <c r="J5">
        <v>4</v>
      </c>
      <c r="K5">
        <v>3</v>
      </c>
      <c r="L5">
        <v>4</v>
      </c>
      <c r="M5">
        <v>4</v>
      </c>
      <c r="N5">
        <v>4</v>
      </c>
      <c r="O5">
        <v>4</v>
      </c>
      <c r="P5">
        <v>3</v>
      </c>
      <c r="Q5">
        <v>4</v>
      </c>
      <c r="R5">
        <v>3</v>
      </c>
      <c r="S5">
        <v>4</v>
      </c>
      <c r="T5">
        <v>4</v>
      </c>
      <c r="U5">
        <v>3</v>
      </c>
      <c r="V5">
        <v>2</v>
      </c>
      <c r="W5" t="s">
        <v>234</v>
      </c>
      <c r="X5" t="s">
        <v>235</v>
      </c>
      <c r="Y5" t="s">
        <v>236</v>
      </c>
      <c r="Z5" t="s">
        <v>237</v>
      </c>
      <c r="AA5" t="s">
        <v>238</v>
      </c>
      <c r="AB5" t="s">
        <v>239</v>
      </c>
      <c r="AC5" t="s">
        <v>240</v>
      </c>
      <c r="AD5" t="s">
        <v>241</v>
      </c>
      <c r="AE5" t="s">
        <v>242</v>
      </c>
      <c r="AF5" t="s">
        <v>243</v>
      </c>
      <c r="AG5" t="s">
        <v>30</v>
      </c>
    </row>
    <row r="6" spans="1:33">
      <c r="A6">
        <f>COUNTIF(Sheet1!$A$2:$A$17, B5)</f>
        <v>0</v>
      </c>
      <c r="B6">
        <v>82</v>
      </c>
      <c r="C6">
        <v>3</v>
      </c>
      <c r="D6">
        <v>3</v>
      </c>
      <c r="E6">
        <v>3</v>
      </c>
      <c r="F6">
        <v>3</v>
      </c>
      <c r="G6">
        <v>3</v>
      </c>
      <c r="H6">
        <v>3</v>
      </c>
      <c r="I6">
        <v>2</v>
      </c>
      <c r="J6">
        <v>2</v>
      </c>
      <c r="K6">
        <v>2</v>
      </c>
      <c r="L6">
        <v>3</v>
      </c>
      <c r="M6">
        <v>3</v>
      </c>
      <c r="N6">
        <v>4</v>
      </c>
      <c r="O6">
        <v>3</v>
      </c>
      <c r="P6">
        <v>3</v>
      </c>
      <c r="Q6">
        <v>3</v>
      </c>
      <c r="R6">
        <v>4</v>
      </c>
      <c r="S6">
        <v>3</v>
      </c>
      <c r="T6">
        <v>3</v>
      </c>
      <c r="U6">
        <v>3</v>
      </c>
      <c r="V6">
        <v>3</v>
      </c>
      <c r="W6" t="s">
        <v>254</v>
      </c>
      <c r="X6" t="s">
        <v>255</v>
      </c>
      <c r="Y6" t="s">
        <v>256</v>
      </c>
      <c r="Z6" t="s">
        <v>257</v>
      </c>
      <c r="AA6" t="s">
        <v>258</v>
      </c>
      <c r="AB6" t="s">
        <v>30</v>
      </c>
    </row>
    <row r="7" spans="1:33">
      <c r="A7">
        <f>COUNTIF(Sheet1!$A$2:$A$17, B6)</f>
        <v>0</v>
      </c>
      <c r="B7">
        <v>81</v>
      </c>
      <c r="C7">
        <v>4</v>
      </c>
      <c r="D7">
        <v>2</v>
      </c>
      <c r="E7">
        <v>4</v>
      </c>
      <c r="F7">
        <v>4</v>
      </c>
      <c r="G7">
        <v>4</v>
      </c>
      <c r="H7">
        <v>2</v>
      </c>
      <c r="I7">
        <v>2</v>
      </c>
      <c r="J7">
        <v>2</v>
      </c>
      <c r="K7">
        <v>4</v>
      </c>
      <c r="L7">
        <v>5</v>
      </c>
      <c r="M7">
        <v>5</v>
      </c>
      <c r="N7">
        <v>4</v>
      </c>
      <c r="O7">
        <v>4</v>
      </c>
      <c r="P7">
        <v>2</v>
      </c>
      <c r="Q7">
        <v>2</v>
      </c>
      <c r="R7">
        <v>4</v>
      </c>
      <c r="S7">
        <v>4</v>
      </c>
      <c r="T7">
        <v>4</v>
      </c>
      <c r="U7">
        <v>4</v>
      </c>
      <c r="V7">
        <v>3</v>
      </c>
      <c r="W7" t="s">
        <v>205</v>
      </c>
      <c r="X7" t="s">
        <v>206</v>
      </c>
      <c r="Y7" t="s">
        <v>207</v>
      </c>
      <c r="Z7" t="s">
        <v>208</v>
      </c>
      <c r="AA7" t="s">
        <v>209</v>
      </c>
      <c r="AB7" t="s">
        <v>210</v>
      </c>
      <c r="AC7" t="s">
        <v>30</v>
      </c>
    </row>
    <row r="8" spans="1:33">
      <c r="A8">
        <f>COUNTIF(Sheet1!$A$2:$A$17, B7)</f>
        <v>0</v>
      </c>
      <c r="B8">
        <v>80</v>
      </c>
      <c r="C8">
        <v>5</v>
      </c>
      <c r="D8">
        <v>4</v>
      </c>
      <c r="E8">
        <v>5</v>
      </c>
      <c r="F8">
        <v>5</v>
      </c>
      <c r="G8">
        <v>5</v>
      </c>
      <c r="H8">
        <v>5</v>
      </c>
      <c r="I8">
        <v>4</v>
      </c>
      <c r="J8">
        <v>5</v>
      </c>
      <c r="K8">
        <v>4</v>
      </c>
      <c r="L8">
        <v>5</v>
      </c>
      <c r="M8">
        <v>5</v>
      </c>
      <c r="N8">
        <v>4</v>
      </c>
      <c r="O8">
        <v>5</v>
      </c>
      <c r="P8">
        <v>4</v>
      </c>
      <c r="Q8">
        <v>4</v>
      </c>
      <c r="R8">
        <v>3</v>
      </c>
      <c r="S8">
        <v>4</v>
      </c>
      <c r="T8">
        <v>4</v>
      </c>
      <c r="U8">
        <v>4</v>
      </c>
      <c r="V8">
        <v>3</v>
      </c>
      <c r="W8" t="s">
        <v>170</v>
      </c>
      <c r="X8" t="s">
        <v>106</v>
      </c>
      <c r="Y8" t="s">
        <v>171</v>
      </c>
      <c r="Z8" t="s">
        <v>172</v>
      </c>
      <c r="AA8" t="s">
        <v>29</v>
      </c>
      <c r="AB8" t="s">
        <v>29</v>
      </c>
      <c r="AC8" t="s">
        <v>30</v>
      </c>
    </row>
    <row r="9" spans="1:33">
      <c r="A9">
        <f>COUNTIF(Sheet1!$A$2:$A$17, B8)</f>
        <v>0</v>
      </c>
      <c r="B9">
        <v>79</v>
      </c>
      <c r="C9">
        <v>4</v>
      </c>
      <c r="D9">
        <v>3</v>
      </c>
      <c r="E9">
        <v>4</v>
      </c>
      <c r="F9">
        <v>4</v>
      </c>
      <c r="G9">
        <v>4</v>
      </c>
      <c r="H9">
        <v>3</v>
      </c>
      <c r="I9">
        <v>4</v>
      </c>
      <c r="J9">
        <v>4</v>
      </c>
      <c r="K9">
        <v>4</v>
      </c>
      <c r="L9">
        <v>4</v>
      </c>
      <c r="M9">
        <v>4</v>
      </c>
      <c r="N9">
        <v>4</v>
      </c>
      <c r="O9">
        <v>4</v>
      </c>
      <c r="P9">
        <v>4</v>
      </c>
      <c r="Q9">
        <v>4</v>
      </c>
      <c r="R9">
        <v>4</v>
      </c>
      <c r="S9">
        <v>2</v>
      </c>
      <c r="T9">
        <v>2</v>
      </c>
      <c r="U9">
        <v>2</v>
      </c>
      <c r="V9">
        <v>4</v>
      </c>
      <c r="W9" t="s">
        <v>191</v>
      </c>
      <c r="X9" t="s">
        <v>192</v>
      </c>
      <c r="Y9" t="s">
        <v>193</v>
      </c>
      <c r="Z9" t="s">
        <v>194</v>
      </c>
      <c r="AA9" t="s">
        <v>192</v>
      </c>
      <c r="AB9" t="s">
        <v>195</v>
      </c>
      <c r="AC9" t="s">
        <v>196</v>
      </c>
      <c r="AD9" t="s">
        <v>197</v>
      </c>
      <c r="AE9" t="s">
        <v>30</v>
      </c>
    </row>
    <row r="10" spans="1:33">
      <c r="A10">
        <f>COUNTIF(Sheet1!$A$2:$A$17, B9)</f>
        <v>0</v>
      </c>
      <c r="B10">
        <v>78</v>
      </c>
      <c r="C10">
        <v>4</v>
      </c>
      <c r="D10">
        <v>4</v>
      </c>
      <c r="E10">
        <v>4</v>
      </c>
      <c r="F10">
        <v>4</v>
      </c>
      <c r="G10">
        <v>4</v>
      </c>
      <c r="H10">
        <v>4</v>
      </c>
      <c r="I10">
        <v>4</v>
      </c>
      <c r="J10">
        <v>4</v>
      </c>
      <c r="K10">
        <v>4</v>
      </c>
      <c r="L10">
        <v>4</v>
      </c>
      <c r="M10">
        <v>4</v>
      </c>
      <c r="N10">
        <v>4</v>
      </c>
      <c r="O10">
        <v>3</v>
      </c>
      <c r="P10">
        <v>3</v>
      </c>
      <c r="Q10">
        <v>4</v>
      </c>
      <c r="R10">
        <v>4</v>
      </c>
      <c r="S10">
        <v>4</v>
      </c>
      <c r="T10">
        <v>3</v>
      </c>
      <c r="U10">
        <v>3</v>
      </c>
      <c r="V10">
        <v>4</v>
      </c>
      <c r="W10" t="s">
        <v>118</v>
      </c>
      <c r="X10" t="s">
        <v>119</v>
      </c>
      <c r="Y10" t="s">
        <v>120</v>
      </c>
      <c r="Z10" t="s">
        <v>121</v>
      </c>
      <c r="AA10" t="s">
        <v>29</v>
      </c>
      <c r="AB10" t="s">
        <v>30</v>
      </c>
    </row>
    <row r="11" spans="1:33">
      <c r="A11">
        <f>COUNTIF(Sheet1!$A$2:$A$17, B10)</f>
        <v>0</v>
      </c>
      <c r="B11">
        <v>76</v>
      </c>
      <c r="C11">
        <v>4</v>
      </c>
      <c r="D11">
        <v>3</v>
      </c>
      <c r="E11">
        <v>5</v>
      </c>
      <c r="F11">
        <v>4</v>
      </c>
      <c r="G11">
        <v>5</v>
      </c>
      <c r="H11">
        <v>3</v>
      </c>
      <c r="I11">
        <v>3</v>
      </c>
      <c r="J11">
        <v>3</v>
      </c>
      <c r="K11">
        <v>5</v>
      </c>
      <c r="L11">
        <v>5</v>
      </c>
      <c r="M11">
        <v>5</v>
      </c>
      <c r="N11">
        <v>5</v>
      </c>
      <c r="O11">
        <v>4</v>
      </c>
      <c r="P11">
        <v>5</v>
      </c>
      <c r="Q11">
        <v>3</v>
      </c>
      <c r="R11">
        <v>4</v>
      </c>
      <c r="S11">
        <v>4</v>
      </c>
      <c r="T11">
        <v>3</v>
      </c>
      <c r="U11">
        <v>4</v>
      </c>
      <c r="V11">
        <v>2</v>
      </c>
      <c r="W11" t="s">
        <v>79</v>
      </c>
      <c r="X11" t="s">
        <v>29</v>
      </c>
      <c r="Y11" t="s">
        <v>80</v>
      </c>
      <c r="Z11" t="s">
        <v>29</v>
      </c>
      <c r="AA11" t="s">
        <v>29</v>
      </c>
      <c r="AB11" t="s">
        <v>30</v>
      </c>
    </row>
    <row r="12" spans="1:33">
      <c r="A12">
        <f>COUNTIF(Sheet1!$A$2:$A$17, B11)</f>
        <v>1</v>
      </c>
      <c r="B12">
        <v>75</v>
      </c>
      <c r="C12">
        <v>4</v>
      </c>
      <c r="D12">
        <v>4</v>
      </c>
      <c r="E12">
        <v>4</v>
      </c>
      <c r="F12">
        <v>4</v>
      </c>
      <c r="G12">
        <v>4</v>
      </c>
      <c r="H12">
        <v>4</v>
      </c>
      <c r="I12">
        <v>4</v>
      </c>
      <c r="J12">
        <v>4</v>
      </c>
      <c r="K12">
        <v>4</v>
      </c>
      <c r="L12">
        <v>4</v>
      </c>
      <c r="M12">
        <v>4</v>
      </c>
      <c r="N12">
        <v>4</v>
      </c>
      <c r="O12">
        <v>4</v>
      </c>
      <c r="P12">
        <v>3</v>
      </c>
      <c r="Q12">
        <v>3</v>
      </c>
      <c r="R12">
        <v>3</v>
      </c>
      <c r="S12">
        <v>4</v>
      </c>
      <c r="T12">
        <v>4</v>
      </c>
      <c r="U12">
        <v>4</v>
      </c>
      <c r="V12">
        <v>4</v>
      </c>
      <c r="W12" t="s">
        <v>29</v>
      </c>
      <c r="X12" t="s">
        <v>29</v>
      </c>
      <c r="Y12" t="s">
        <v>259</v>
      </c>
      <c r="Z12" t="s">
        <v>29</v>
      </c>
      <c r="AA12" t="s">
        <v>29</v>
      </c>
      <c r="AB12" t="s">
        <v>30</v>
      </c>
    </row>
    <row r="13" spans="1:33">
      <c r="A13">
        <f>COUNTIF(Sheet1!$A$2:$A$17, B12)</f>
        <v>0</v>
      </c>
      <c r="B13">
        <v>74</v>
      </c>
      <c r="C13">
        <v>3</v>
      </c>
      <c r="D13">
        <v>3</v>
      </c>
      <c r="E13">
        <v>3</v>
      </c>
      <c r="F13" t="s">
        <v>29</v>
      </c>
      <c r="G13">
        <v>3</v>
      </c>
      <c r="H13">
        <v>3</v>
      </c>
      <c r="I13">
        <v>3</v>
      </c>
      <c r="J13">
        <v>3</v>
      </c>
      <c r="K13" t="s">
        <v>29</v>
      </c>
      <c r="L13">
        <v>3</v>
      </c>
      <c r="M13">
        <v>3</v>
      </c>
      <c r="N13">
        <v>4</v>
      </c>
      <c r="O13">
        <v>3</v>
      </c>
      <c r="P13">
        <v>4</v>
      </c>
      <c r="Q13">
        <v>4</v>
      </c>
      <c r="R13">
        <v>3</v>
      </c>
      <c r="S13">
        <v>3</v>
      </c>
      <c r="T13">
        <v>3</v>
      </c>
      <c r="U13">
        <v>3</v>
      </c>
      <c r="V13">
        <v>3</v>
      </c>
      <c r="W13" t="s">
        <v>250</v>
      </c>
      <c r="X13" t="s">
        <v>29</v>
      </c>
      <c r="Y13" t="s">
        <v>251</v>
      </c>
      <c r="Z13" t="s">
        <v>252</v>
      </c>
      <c r="AA13" t="s">
        <v>29</v>
      </c>
      <c r="AB13" t="s">
        <v>253</v>
      </c>
      <c r="AC13" t="s">
        <v>30</v>
      </c>
    </row>
    <row r="14" spans="1:33">
      <c r="A14">
        <f>COUNTIF(Sheet1!$A$2:$A$17, B13)</f>
        <v>0</v>
      </c>
      <c r="B14">
        <v>73</v>
      </c>
      <c r="C14">
        <v>4</v>
      </c>
      <c r="D14">
        <v>3</v>
      </c>
      <c r="E14">
        <v>4</v>
      </c>
      <c r="F14">
        <v>4</v>
      </c>
      <c r="G14">
        <v>4</v>
      </c>
      <c r="H14">
        <v>4</v>
      </c>
      <c r="I14">
        <v>4</v>
      </c>
      <c r="J14">
        <v>4</v>
      </c>
      <c r="K14">
        <v>4</v>
      </c>
      <c r="L14">
        <v>4</v>
      </c>
      <c r="M14">
        <v>4</v>
      </c>
      <c r="N14">
        <v>4</v>
      </c>
      <c r="O14">
        <v>4</v>
      </c>
      <c r="P14">
        <v>4</v>
      </c>
      <c r="Q14">
        <v>3</v>
      </c>
      <c r="R14">
        <v>5</v>
      </c>
      <c r="S14">
        <v>4</v>
      </c>
      <c r="T14">
        <v>5</v>
      </c>
      <c r="U14">
        <v>4</v>
      </c>
      <c r="V14">
        <v>3</v>
      </c>
      <c r="W14" t="s">
        <v>90</v>
      </c>
      <c r="X14" t="s">
        <v>91</v>
      </c>
      <c r="Y14" t="s">
        <v>92</v>
      </c>
      <c r="Z14" t="s">
        <v>93</v>
      </c>
      <c r="AA14" t="s">
        <v>93</v>
      </c>
      <c r="AB14" t="s">
        <v>93</v>
      </c>
      <c r="AC14" t="s">
        <v>94</v>
      </c>
      <c r="AD14" t="s">
        <v>95</v>
      </c>
      <c r="AE14" t="s">
        <v>96</v>
      </c>
      <c r="AF14" t="s">
        <v>30</v>
      </c>
    </row>
    <row r="15" spans="1:33">
      <c r="A15">
        <f>COUNTIF(Sheet1!$A$2:$A$17, B14)</f>
        <v>0</v>
      </c>
      <c r="B15">
        <v>71</v>
      </c>
      <c r="C15">
        <v>3</v>
      </c>
      <c r="D15">
        <v>2</v>
      </c>
      <c r="E15">
        <v>4</v>
      </c>
      <c r="F15">
        <v>2</v>
      </c>
      <c r="G15">
        <v>4</v>
      </c>
      <c r="H15">
        <v>3</v>
      </c>
      <c r="I15">
        <v>3</v>
      </c>
      <c r="J15">
        <v>4</v>
      </c>
      <c r="K15">
        <v>2</v>
      </c>
      <c r="L15">
        <v>3</v>
      </c>
      <c r="M15">
        <v>5</v>
      </c>
      <c r="N15">
        <v>4</v>
      </c>
      <c r="O15">
        <v>4</v>
      </c>
      <c r="P15">
        <v>5</v>
      </c>
      <c r="Q15">
        <v>5</v>
      </c>
      <c r="R15">
        <v>5</v>
      </c>
      <c r="S15">
        <v>2</v>
      </c>
      <c r="T15">
        <v>4</v>
      </c>
      <c r="U15">
        <v>4</v>
      </c>
      <c r="V15">
        <v>3</v>
      </c>
      <c r="W15" t="s">
        <v>127</v>
      </c>
      <c r="X15" t="s">
        <v>128</v>
      </c>
      <c r="Y15" t="s">
        <v>129</v>
      </c>
      <c r="Z15" t="s">
        <v>130</v>
      </c>
      <c r="AA15" t="s">
        <v>131</v>
      </c>
      <c r="AB15" t="s">
        <v>132</v>
      </c>
      <c r="AC15" t="s">
        <v>30</v>
      </c>
    </row>
    <row r="16" spans="1:33">
      <c r="A16">
        <f>COUNTIF(Sheet1!$A$2:$A$17, B15)</f>
        <v>1</v>
      </c>
      <c r="B16">
        <v>70</v>
      </c>
      <c r="C16">
        <v>5</v>
      </c>
      <c r="D16">
        <v>5</v>
      </c>
      <c r="E16">
        <v>5</v>
      </c>
      <c r="F16">
        <v>5</v>
      </c>
      <c r="G16">
        <v>5</v>
      </c>
      <c r="H16">
        <v>5</v>
      </c>
      <c r="I16">
        <v>5</v>
      </c>
      <c r="J16">
        <v>5</v>
      </c>
      <c r="K16">
        <v>5</v>
      </c>
      <c r="L16">
        <v>5</v>
      </c>
      <c r="M16">
        <v>5</v>
      </c>
      <c r="N16">
        <v>5</v>
      </c>
      <c r="O16">
        <v>5</v>
      </c>
      <c r="P16">
        <v>5</v>
      </c>
      <c r="Q16">
        <v>5</v>
      </c>
      <c r="R16">
        <v>5</v>
      </c>
      <c r="S16">
        <v>5</v>
      </c>
      <c r="T16">
        <v>4</v>
      </c>
      <c r="U16">
        <v>3</v>
      </c>
      <c r="V16">
        <v>3</v>
      </c>
      <c r="W16" t="s">
        <v>76</v>
      </c>
      <c r="X16" t="s">
        <v>29</v>
      </c>
      <c r="Y16" t="s">
        <v>77</v>
      </c>
      <c r="Z16" t="s">
        <v>29</v>
      </c>
      <c r="AA16" t="s">
        <v>78</v>
      </c>
      <c r="AB16" t="s">
        <v>30</v>
      </c>
    </row>
    <row r="17" spans="1:31">
      <c r="A17">
        <f>COUNTIF(Sheet1!$A$2:$A$17, B16)</f>
        <v>1</v>
      </c>
      <c r="B17">
        <v>69</v>
      </c>
      <c r="C17">
        <v>4</v>
      </c>
      <c r="D17">
        <v>4</v>
      </c>
      <c r="E17">
        <v>4</v>
      </c>
      <c r="F17">
        <v>4</v>
      </c>
      <c r="G17">
        <v>4</v>
      </c>
      <c r="H17">
        <v>4</v>
      </c>
      <c r="I17">
        <v>4</v>
      </c>
      <c r="J17">
        <v>4</v>
      </c>
      <c r="K17">
        <v>4</v>
      </c>
      <c r="L17">
        <v>4</v>
      </c>
      <c r="M17">
        <v>4</v>
      </c>
      <c r="N17">
        <v>4</v>
      </c>
      <c r="O17">
        <v>4</v>
      </c>
      <c r="P17">
        <v>4</v>
      </c>
      <c r="Q17">
        <v>4</v>
      </c>
      <c r="R17">
        <v>4</v>
      </c>
      <c r="S17">
        <v>4</v>
      </c>
      <c r="T17">
        <v>4</v>
      </c>
      <c r="U17">
        <v>2</v>
      </c>
      <c r="V17">
        <v>4</v>
      </c>
      <c r="W17" t="s">
        <v>48</v>
      </c>
      <c r="X17" t="s">
        <v>49</v>
      </c>
      <c r="Y17" t="s">
        <v>50</v>
      </c>
      <c r="Z17" t="s">
        <v>51</v>
      </c>
      <c r="AA17" t="s">
        <v>52</v>
      </c>
      <c r="AB17" t="s">
        <v>53</v>
      </c>
      <c r="AC17" t="s">
        <v>54</v>
      </c>
      <c r="AD17" t="s">
        <v>55</v>
      </c>
      <c r="AE17" t="s">
        <v>30</v>
      </c>
    </row>
    <row r="18" spans="1:31">
      <c r="A18">
        <f>COUNTIF(Sheet1!$A$2:$A$17, B17)</f>
        <v>1</v>
      </c>
      <c r="B18">
        <v>68</v>
      </c>
      <c r="C18">
        <v>4</v>
      </c>
      <c r="D18">
        <v>4</v>
      </c>
      <c r="E18">
        <v>4</v>
      </c>
      <c r="F18">
        <v>4</v>
      </c>
      <c r="G18">
        <v>4</v>
      </c>
      <c r="H18">
        <v>4</v>
      </c>
      <c r="I18">
        <v>4</v>
      </c>
      <c r="J18">
        <v>4</v>
      </c>
      <c r="K18">
        <v>3</v>
      </c>
      <c r="L18">
        <v>3</v>
      </c>
      <c r="M18">
        <v>3</v>
      </c>
      <c r="N18">
        <v>3</v>
      </c>
      <c r="O18">
        <v>3</v>
      </c>
      <c r="P18">
        <v>3</v>
      </c>
      <c r="Q18">
        <v>2</v>
      </c>
      <c r="R18">
        <v>3</v>
      </c>
      <c r="S18">
        <v>4</v>
      </c>
      <c r="T18">
        <v>5</v>
      </c>
      <c r="U18">
        <v>5</v>
      </c>
      <c r="V18">
        <v>5</v>
      </c>
      <c r="W18" t="s">
        <v>56</v>
      </c>
      <c r="X18" t="s">
        <v>29</v>
      </c>
      <c r="Y18" t="s">
        <v>57</v>
      </c>
      <c r="Z18" t="s">
        <v>29</v>
      </c>
      <c r="AA18" t="s">
        <v>58</v>
      </c>
      <c r="AB18" t="s">
        <v>59</v>
      </c>
      <c r="AC18" t="s">
        <v>30</v>
      </c>
    </row>
    <row r="19" spans="1:31">
      <c r="A19">
        <f>COUNTIF(Sheet1!$A$2:$A$17, B18)</f>
        <v>0</v>
      </c>
      <c r="B19">
        <v>67</v>
      </c>
      <c r="C19">
        <v>4</v>
      </c>
      <c r="D19">
        <v>4</v>
      </c>
      <c r="E19">
        <v>4</v>
      </c>
      <c r="F19">
        <v>4</v>
      </c>
      <c r="G19">
        <v>4</v>
      </c>
      <c r="H19">
        <v>4</v>
      </c>
      <c r="I19">
        <v>4</v>
      </c>
      <c r="J19">
        <v>4</v>
      </c>
      <c r="K19">
        <v>4</v>
      </c>
      <c r="L19">
        <v>4</v>
      </c>
      <c r="M19">
        <v>4</v>
      </c>
      <c r="N19">
        <v>4</v>
      </c>
      <c r="O19">
        <v>4</v>
      </c>
      <c r="P19">
        <v>3</v>
      </c>
      <c r="Q19">
        <v>2</v>
      </c>
      <c r="R19">
        <v>3</v>
      </c>
      <c r="S19">
        <v>4</v>
      </c>
      <c r="T19">
        <v>4</v>
      </c>
      <c r="U19">
        <v>4</v>
      </c>
      <c r="V19">
        <v>4</v>
      </c>
      <c r="W19" t="s">
        <v>149</v>
      </c>
      <c r="X19" t="s">
        <v>150</v>
      </c>
      <c r="Y19" t="s">
        <v>151</v>
      </c>
      <c r="Z19" t="s">
        <v>152</v>
      </c>
      <c r="AA19" t="s">
        <v>153</v>
      </c>
      <c r="AB19" t="s">
        <v>30</v>
      </c>
    </row>
    <row r="20" spans="1:31">
      <c r="A20">
        <f>COUNTIF(Sheet1!$A$2:$A$17, B19)</f>
        <v>1</v>
      </c>
      <c r="B20">
        <v>65</v>
      </c>
      <c r="C20">
        <v>3</v>
      </c>
      <c r="D20">
        <v>3</v>
      </c>
      <c r="E20">
        <v>3</v>
      </c>
      <c r="F20">
        <v>3</v>
      </c>
      <c r="G20">
        <v>3</v>
      </c>
      <c r="H20">
        <v>3</v>
      </c>
      <c r="I20">
        <v>3</v>
      </c>
      <c r="J20">
        <v>3</v>
      </c>
      <c r="K20">
        <v>4</v>
      </c>
      <c r="L20">
        <v>3</v>
      </c>
      <c r="M20">
        <v>4</v>
      </c>
      <c r="N20">
        <v>3</v>
      </c>
      <c r="O20">
        <v>3</v>
      </c>
      <c r="P20">
        <v>4</v>
      </c>
      <c r="Q20">
        <v>2</v>
      </c>
      <c r="R20">
        <v>1</v>
      </c>
      <c r="S20">
        <v>2</v>
      </c>
      <c r="T20">
        <v>3</v>
      </c>
      <c r="U20">
        <v>3</v>
      </c>
      <c r="V20">
        <v>2</v>
      </c>
      <c r="W20" t="s">
        <v>166</v>
      </c>
      <c r="X20" t="s">
        <v>167</v>
      </c>
      <c r="Y20" t="s">
        <v>168</v>
      </c>
      <c r="Z20" t="s">
        <v>29</v>
      </c>
      <c r="AA20" t="s">
        <v>169</v>
      </c>
      <c r="AB20" t="s">
        <v>30</v>
      </c>
    </row>
    <row r="21" spans="1:31">
      <c r="A21">
        <f>COUNTIF(Sheet1!$A$2:$A$17, B20)</f>
        <v>0</v>
      </c>
      <c r="B21">
        <v>64</v>
      </c>
      <c r="C21">
        <v>2</v>
      </c>
      <c r="D21">
        <v>2</v>
      </c>
      <c r="E21">
        <v>2</v>
      </c>
      <c r="F21">
        <v>2</v>
      </c>
      <c r="G21">
        <v>2</v>
      </c>
      <c r="H21">
        <v>2</v>
      </c>
      <c r="I21">
        <v>2</v>
      </c>
      <c r="J21">
        <v>2</v>
      </c>
      <c r="K21" t="s">
        <v>29</v>
      </c>
      <c r="L21">
        <v>2</v>
      </c>
      <c r="M21">
        <v>2</v>
      </c>
      <c r="N21">
        <v>2</v>
      </c>
      <c r="O21">
        <v>2</v>
      </c>
      <c r="P21">
        <v>2</v>
      </c>
      <c r="Q21">
        <v>2</v>
      </c>
      <c r="R21">
        <v>2</v>
      </c>
      <c r="S21">
        <v>2</v>
      </c>
      <c r="T21">
        <v>2</v>
      </c>
      <c r="U21">
        <v>2</v>
      </c>
      <c r="V21">
        <v>3</v>
      </c>
      <c r="W21" t="s">
        <v>45</v>
      </c>
      <c r="X21" t="s">
        <v>29</v>
      </c>
      <c r="Y21" t="s">
        <v>46</v>
      </c>
      <c r="Z21" t="s">
        <v>29</v>
      </c>
      <c r="AA21" t="s">
        <v>47</v>
      </c>
      <c r="AB21" t="s">
        <v>30</v>
      </c>
    </row>
    <row r="22" spans="1:31">
      <c r="A22">
        <f>COUNTIF(Sheet1!$A$2:$A$17, B21)</f>
        <v>0</v>
      </c>
      <c r="B22">
        <v>63</v>
      </c>
      <c r="C22">
        <v>4</v>
      </c>
      <c r="D22">
        <v>4</v>
      </c>
      <c r="E22">
        <v>4</v>
      </c>
      <c r="F22">
        <v>3</v>
      </c>
      <c r="G22">
        <v>4</v>
      </c>
      <c r="H22">
        <v>4</v>
      </c>
      <c r="I22">
        <v>3</v>
      </c>
      <c r="J22">
        <v>4</v>
      </c>
      <c r="K22">
        <v>4</v>
      </c>
      <c r="L22">
        <v>4</v>
      </c>
      <c r="M22">
        <v>4</v>
      </c>
      <c r="N22">
        <v>4</v>
      </c>
      <c r="O22">
        <v>4</v>
      </c>
      <c r="P22">
        <v>5</v>
      </c>
      <c r="Q22">
        <v>5</v>
      </c>
      <c r="R22">
        <v>4</v>
      </c>
      <c r="S22">
        <v>3</v>
      </c>
      <c r="T22">
        <v>3</v>
      </c>
      <c r="U22">
        <v>3</v>
      </c>
      <c r="V22">
        <v>3</v>
      </c>
      <c r="W22" t="s">
        <v>105</v>
      </c>
      <c r="X22" t="s">
        <v>106</v>
      </c>
      <c r="Y22" t="s">
        <v>107</v>
      </c>
      <c r="Z22" t="s">
        <v>106</v>
      </c>
      <c r="AA22" t="s">
        <v>29</v>
      </c>
      <c r="AB22" t="s">
        <v>30</v>
      </c>
    </row>
    <row r="23" spans="1:31">
      <c r="A23">
        <f>COUNTIF(Sheet1!$A$2:$A$17, B22)</f>
        <v>0</v>
      </c>
      <c r="B23">
        <v>61</v>
      </c>
      <c r="C23">
        <v>4</v>
      </c>
      <c r="D23">
        <v>4</v>
      </c>
      <c r="E23">
        <v>4</v>
      </c>
      <c r="F23">
        <v>4</v>
      </c>
      <c r="G23">
        <v>4</v>
      </c>
      <c r="H23">
        <v>4</v>
      </c>
      <c r="I23">
        <v>4</v>
      </c>
      <c r="J23">
        <v>4</v>
      </c>
      <c r="K23">
        <v>4</v>
      </c>
      <c r="L23">
        <v>4</v>
      </c>
      <c r="M23">
        <v>4</v>
      </c>
      <c r="N23">
        <v>4</v>
      </c>
      <c r="O23">
        <v>4</v>
      </c>
      <c r="P23">
        <v>3</v>
      </c>
      <c r="Q23">
        <v>2</v>
      </c>
      <c r="R23">
        <v>3</v>
      </c>
      <c r="S23">
        <v>4</v>
      </c>
      <c r="T23">
        <v>3</v>
      </c>
      <c r="U23">
        <v>4</v>
      </c>
      <c r="V23">
        <v>4</v>
      </c>
      <c r="W23" t="s">
        <v>108</v>
      </c>
      <c r="X23" t="s">
        <v>109</v>
      </c>
      <c r="Y23" t="s">
        <v>110</v>
      </c>
      <c r="Z23" t="s">
        <v>111</v>
      </c>
      <c r="AA23" t="s">
        <v>112</v>
      </c>
      <c r="AB23" t="s">
        <v>30</v>
      </c>
    </row>
    <row r="24" spans="1:31">
      <c r="A24">
        <f>COUNTIF(Sheet1!$A$2:$A$17, B23)</f>
        <v>1</v>
      </c>
      <c r="B24">
        <v>58</v>
      </c>
      <c r="C24">
        <v>4</v>
      </c>
      <c r="D24">
        <v>4</v>
      </c>
      <c r="E24">
        <v>4</v>
      </c>
      <c r="F24">
        <v>4</v>
      </c>
      <c r="G24">
        <v>4</v>
      </c>
      <c r="H24">
        <v>4</v>
      </c>
      <c r="I24">
        <v>4</v>
      </c>
      <c r="J24">
        <v>4</v>
      </c>
      <c r="K24">
        <v>4</v>
      </c>
      <c r="L24">
        <v>4</v>
      </c>
      <c r="M24">
        <v>4</v>
      </c>
      <c r="N24">
        <v>4</v>
      </c>
      <c r="O24">
        <v>4</v>
      </c>
      <c r="P24">
        <v>4</v>
      </c>
      <c r="Q24">
        <v>4</v>
      </c>
      <c r="R24">
        <v>4</v>
      </c>
      <c r="S24">
        <v>4</v>
      </c>
      <c r="T24">
        <v>4</v>
      </c>
      <c r="U24">
        <v>4</v>
      </c>
      <c r="V24">
        <v>4</v>
      </c>
      <c r="W24" t="s">
        <v>74</v>
      </c>
      <c r="X24" t="s">
        <v>27</v>
      </c>
      <c r="Y24" t="s">
        <v>75</v>
      </c>
      <c r="Z24" t="s">
        <v>27</v>
      </c>
      <c r="AA24" t="s">
        <v>27</v>
      </c>
      <c r="AB24" t="s">
        <v>30</v>
      </c>
    </row>
    <row r="25" spans="1:31">
      <c r="A25">
        <f>COUNTIF(Sheet1!$A$2:$A$17, B24)</f>
        <v>0</v>
      </c>
      <c r="B25">
        <v>57</v>
      </c>
      <c r="C25">
        <v>5</v>
      </c>
      <c r="D25">
        <v>4</v>
      </c>
      <c r="E25">
        <v>5</v>
      </c>
      <c r="F25">
        <v>2</v>
      </c>
      <c r="G25">
        <v>5</v>
      </c>
      <c r="H25">
        <v>5</v>
      </c>
      <c r="I25">
        <v>2</v>
      </c>
      <c r="J25">
        <v>4</v>
      </c>
      <c r="K25">
        <v>4</v>
      </c>
      <c r="L25">
        <v>4</v>
      </c>
      <c r="M25">
        <v>4</v>
      </c>
      <c r="N25">
        <v>4</v>
      </c>
      <c r="O25">
        <v>4</v>
      </c>
      <c r="P25">
        <v>5</v>
      </c>
      <c r="Q25">
        <v>5</v>
      </c>
      <c r="R25">
        <v>3</v>
      </c>
      <c r="S25">
        <v>4</v>
      </c>
      <c r="T25">
        <v>4</v>
      </c>
      <c r="U25">
        <v>4</v>
      </c>
      <c r="V25">
        <v>3</v>
      </c>
      <c r="W25" t="s">
        <v>29</v>
      </c>
      <c r="X25" t="s">
        <v>29</v>
      </c>
      <c r="Y25" t="s">
        <v>29</v>
      </c>
      <c r="Z25" t="s">
        <v>29</v>
      </c>
      <c r="AA25" t="s">
        <v>29</v>
      </c>
      <c r="AB25" t="s">
        <v>30</v>
      </c>
    </row>
    <row r="26" spans="1:31">
      <c r="A26">
        <f>COUNTIF(Sheet1!$A$2:$A$17, B25)</f>
        <v>0</v>
      </c>
      <c r="B26">
        <v>56</v>
      </c>
      <c r="C26">
        <v>3</v>
      </c>
      <c r="D26">
        <v>3</v>
      </c>
      <c r="E26">
        <v>3</v>
      </c>
      <c r="F26">
        <v>3</v>
      </c>
      <c r="G26">
        <v>3</v>
      </c>
      <c r="H26">
        <v>3</v>
      </c>
      <c r="I26">
        <v>3</v>
      </c>
      <c r="J26">
        <v>3</v>
      </c>
      <c r="K26">
        <v>3</v>
      </c>
      <c r="L26">
        <v>3</v>
      </c>
      <c r="M26">
        <v>3</v>
      </c>
      <c r="N26">
        <v>3</v>
      </c>
      <c r="O26">
        <v>1</v>
      </c>
      <c r="P26">
        <v>1</v>
      </c>
      <c r="Q26">
        <v>1</v>
      </c>
      <c r="R26">
        <v>1</v>
      </c>
      <c r="S26">
        <v>1</v>
      </c>
      <c r="T26">
        <v>1</v>
      </c>
      <c r="U26">
        <v>1</v>
      </c>
      <c r="V26">
        <v>3</v>
      </c>
      <c r="W26" t="s">
        <v>29</v>
      </c>
      <c r="X26" t="s">
        <v>29</v>
      </c>
      <c r="Y26" t="s">
        <v>72</v>
      </c>
      <c r="Z26" t="s">
        <v>73</v>
      </c>
      <c r="AA26" t="s">
        <v>29</v>
      </c>
      <c r="AB26" t="s">
        <v>29</v>
      </c>
      <c r="AC26" t="s">
        <v>30</v>
      </c>
    </row>
    <row r="27" spans="1:31">
      <c r="A27">
        <f>COUNTIF(Sheet1!$A$2:$A$17, B26)</f>
        <v>1</v>
      </c>
      <c r="B27">
        <v>55</v>
      </c>
      <c r="C27">
        <v>5</v>
      </c>
      <c r="D27">
        <v>5</v>
      </c>
      <c r="E27">
        <v>5</v>
      </c>
      <c r="F27">
        <v>5</v>
      </c>
      <c r="G27">
        <v>5</v>
      </c>
      <c r="H27">
        <v>5</v>
      </c>
      <c r="I27">
        <v>5</v>
      </c>
      <c r="J27">
        <v>5</v>
      </c>
      <c r="K27">
        <v>5</v>
      </c>
      <c r="L27">
        <v>1</v>
      </c>
      <c r="M27">
        <v>1</v>
      </c>
      <c r="N27">
        <v>1</v>
      </c>
      <c r="O27">
        <v>1</v>
      </c>
      <c r="P27">
        <v>1</v>
      </c>
      <c r="Q27">
        <v>1</v>
      </c>
      <c r="R27">
        <v>1</v>
      </c>
      <c r="S27">
        <v>1</v>
      </c>
      <c r="T27">
        <v>1</v>
      </c>
      <c r="U27">
        <v>1</v>
      </c>
      <c r="V27">
        <v>1</v>
      </c>
      <c r="W27" t="s">
        <v>38</v>
      </c>
      <c r="X27" t="s">
        <v>29</v>
      </c>
      <c r="Y27" t="s">
        <v>39</v>
      </c>
      <c r="Z27" t="s">
        <v>29</v>
      </c>
      <c r="AA27" t="s">
        <v>29</v>
      </c>
      <c r="AB27" t="s">
        <v>30</v>
      </c>
    </row>
    <row r="28" spans="1:31">
      <c r="A28">
        <f>COUNTIF(Sheet1!$A$2:$A$17, B27)</f>
        <v>0</v>
      </c>
      <c r="B28">
        <v>52</v>
      </c>
      <c r="C28">
        <v>4</v>
      </c>
      <c r="D28">
        <v>3</v>
      </c>
      <c r="E28">
        <v>4</v>
      </c>
      <c r="F28">
        <v>4</v>
      </c>
      <c r="G28">
        <v>4</v>
      </c>
      <c r="H28">
        <v>3</v>
      </c>
      <c r="I28">
        <v>3</v>
      </c>
      <c r="J28">
        <v>3</v>
      </c>
      <c r="K28">
        <v>3</v>
      </c>
      <c r="L28">
        <v>5</v>
      </c>
      <c r="M28">
        <v>5</v>
      </c>
      <c r="N28">
        <v>4</v>
      </c>
      <c r="O28">
        <v>4</v>
      </c>
      <c r="P28">
        <v>4</v>
      </c>
      <c r="Q28">
        <v>4</v>
      </c>
      <c r="R28">
        <v>4</v>
      </c>
      <c r="S28">
        <v>4</v>
      </c>
      <c r="T28">
        <v>4</v>
      </c>
      <c r="U28">
        <v>4</v>
      </c>
      <c r="V28">
        <v>4</v>
      </c>
      <c r="W28" t="s">
        <v>31</v>
      </c>
      <c r="X28" t="s">
        <v>32</v>
      </c>
      <c r="Y28" t="s">
        <v>33</v>
      </c>
      <c r="Z28" t="s">
        <v>34</v>
      </c>
      <c r="AA28" t="s">
        <v>35</v>
      </c>
      <c r="AB28" t="s">
        <v>36</v>
      </c>
      <c r="AC28" t="s">
        <v>37</v>
      </c>
      <c r="AD28" t="s">
        <v>30</v>
      </c>
    </row>
    <row r="29" spans="1:31">
      <c r="A29">
        <f>COUNTIF(Sheet1!$A$2:$A$17, B28)</f>
        <v>0</v>
      </c>
      <c r="B29">
        <v>49</v>
      </c>
      <c r="C29">
        <v>5</v>
      </c>
      <c r="D29">
        <v>4</v>
      </c>
      <c r="E29">
        <v>5</v>
      </c>
      <c r="F29">
        <v>5</v>
      </c>
      <c r="G29">
        <v>5</v>
      </c>
      <c r="H29">
        <v>5</v>
      </c>
      <c r="I29">
        <v>5</v>
      </c>
      <c r="J29">
        <v>4</v>
      </c>
      <c r="K29" t="s">
        <v>29</v>
      </c>
      <c r="L29">
        <v>5</v>
      </c>
      <c r="M29">
        <v>4</v>
      </c>
      <c r="N29" t="s">
        <v>29</v>
      </c>
      <c r="O29">
        <v>4</v>
      </c>
      <c r="P29">
        <v>3</v>
      </c>
      <c r="Q29">
        <v>3</v>
      </c>
      <c r="R29">
        <v>4</v>
      </c>
      <c r="S29">
        <v>3</v>
      </c>
      <c r="T29">
        <v>4</v>
      </c>
      <c r="U29">
        <v>3</v>
      </c>
      <c r="V29">
        <v>3</v>
      </c>
      <c r="W29" t="s">
        <v>260</v>
      </c>
      <c r="X29" t="s">
        <v>27</v>
      </c>
      <c r="Y29" t="s">
        <v>261</v>
      </c>
      <c r="Z29" t="s">
        <v>262</v>
      </c>
      <c r="AA29" t="s">
        <v>27</v>
      </c>
      <c r="AB29" t="s">
        <v>263</v>
      </c>
      <c r="AC29" t="s">
        <v>264</v>
      </c>
      <c r="AD29" t="s">
        <v>30</v>
      </c>
    </row>
    <row r="30" spans="1:31">
      <c r="A30">
        <f>COUNTIF(Sheet1!$A$2:$A$17, B29)</f>
        <v>0</v>
      </c>
      <c r="B30">
        <v>45</v>
      </c>
      <c r="C30">
        <v>4</v>
      </c>
      <c r="D30">
        <v>4</v>
      </c>
      <c r="E30">
        <v>4</v>
      </c>
      <c r="F30">
        <v>4</v>
      </c>
      <c r="G30">
        <v>4</v>
      </c>
      <c r="H30">
        <v>4</v>
      </c>
      <c r="I30">
        <v>4</v>
      </c>
      <c r="J30">
        <v>4</v>
      </c>
      <c r="K30">
        <v>4</v>
      </c>
      <c r="L30">
        <v>4</v>
      </c>
      <c r="M30">
        <v>4</v>
      </c>
      <c r="N30">
        <v>4</v>
      </c>
      <c r="O30">
        <v>4</v>
      </c>
      <c r="P30">
        <v>4</v>
      </c>
      <c r="Q30">
        <v>4</v>
      </c>
      <c r="R30">
        <v>4</v>
      </c>
      <c r="S30">
        <v>4</v>
      </c>
      <c r="T30">
        <v>4</v>
      </c>
      <c r="U30">
        <v>4</v>
      </c>
      <c r="V30">
        <v>3</v>
      </c>
      <c r="W30" t="s">
        <v>26</v>
      </c>
      <c r="X30" t="s">
        <v>27</v>
      </c>
      <c r="Y30" t="s">
        <v>28</v>
      </c>
      <c r="Z30" t="s">
        <v>27</v>
      </c>
      <c r="AA30" t="s">
        <v>29</v>
      </c>
      <c r="AB30" t="s">
        <v>30</v>
      </c>
    </row>
    <row r="31" spans="1:31">
      <c r="A31">
        <f>COUNTIF(Sheet1!$A$2:$A$17, B30)</f>
        <v>0</v>
      </c>
      <c r="B31">
        <v>43</v>
      </c>
      <c r="C31">
        <v>4</v>
      </c>
      <c r="D31">
        <v>3</v>
      </c>
      <c r="E31">
        <v>4</v>
      </c>
      <c r="F31">
        <v>3</v>
      </c>
      <c r="G31">
        <v>4</v>
      </c>
      <c r="H31">
        <v>3</v>
      </c>
      <c r="I31">
        <v>3</v>
      </c>
      <c r="J31">
        <v>3</v>
      </c>
      <c r="K31">
        <v>4</v>
      </c>
      <c r="L31">
        <v>4</v>
      </c>
      <c r="M31">
        <v>4</v>
      </c>
      <c r="N31">
        <v>4</v>
      </c>
      <c r="O31">
        <v>3</v>
      </c>
      <c r="P31">
        <v>2</v>
      </c>
      <c r="Q31">
        <v>3</v>
      </c>
      <c r="R31">
        <v>3</v>
      </c>
      <c r="S31">
        <v>3</v>
      </c>
      <c r="T31">
        <v>3</v>
      </c>
      <c r="U31">
        <v>3</v>
      </c>
      <c r="V31">
        <v>2</v>
      </c>
      <c r="W31" t="s">
        <v>213</v>
      </c>
      <c r="X31" t="s">
        <v>214</v>
      </c>
      <c r="Y31" t="s">
        <v>215</v>
      </c>
      <c r="Z31" t="s">
        <v>216</v>
      </c>
      <c r="AA31" t="s">
        <v>217</v>
      </c>
      <c r="AB31" t="s">
        <v>27</v>
      </c>
      <c r="AC31" t="s">
        <v>218</v>
      </c>
      <c r="AD31" t="s">
        <v>30</v>
      </c>
    </row>
    <row r="32" spans="1:31">
      <c r="A32">
        <f>COUNTIF(Sheet1!$A$2:$A$17, B31)</f>
        <v>0</v>
      </c>
      <c r="B32">
        <v>37</v>
      </c>
      <c r="C32">
        <v>1</v>
      </c>
      <c r="D32">
        <v>3</v>
      </c>
      <c r="E32">
        <v>3</v>
      </c>
      <c r="F32">
        <v>3</v>
      </c>
      <c r="G32">
        <v>4</v>
      </c>
      <c r="H32">
        <v>3</v>
      </c>
      <c r="I32">
        <v>4</v>
      </c>
      <c r="J32">
        <v>3</v>
      </c>
      <c r="K32">
        <v>3</v>
      </c>
      <c r="L32">
        <v>4</v>
      </c>
      <c r="M32">
        <v>4</v>
      </c>
      <c r="N32">
        <v>4</v>
      </c>
      <c r="O32">
        <v>4</v>
      </c>
      <c r="P32">
        <v>3</v>
      </c>
      <c r="Q32">
        <v>4</v>
      </c>
      <c r="R32">
        <v>2</v>
      </c>
      <c r="S32">
        <v>4</v>
      </c>
      <c r="T32">
        <v>4</v>
      </c>
      <c r="U32">
        <v>3</v>
      </c>
      <c r="V32">
        <v>4</v>
      </c>
      <c r="W32" t="s">
        <v>223</v>
      </c>
      <c r="X32" t="s">
        <v>224</v>
      </c>
      <c r="Y32" t="s">
        <v>225</v>
      </c>
      <c r="Z32" t="s">
        <v>226</v>
      </c>
      <c r="AA32" t="s">
        <v>227</v>
      </c>
      <c r="AB32" t="s">
        <v>228</v>
      </c>
      <c r="AC32" t="s">
        <v>30</v>
      </c>
    </row>
    <row r="33" spans="1:35">
      <c r="A33">
        <f>COUNTIF(Sheet1!$A$2:$A$17, B32)</f>
        <v>1</v>
      </c>
      <c r="B33">
        <v>36</v>
      </c>
      <c r="C33">
        <v>5</v>
      </c>
      <c r="D33">
        <v>5</v>
      </c>
      <c r="E33">
        <v>5</v>
      </c>
      <c r="F33">
        <v>5</v>
      </c>
      <c r="G33">
        <v>5</v>
      </c>
      <c r="H33">
        <v>5</v>
      </c>
      <c r="I33">
        <v>5</v>
      </c>
      <c r="J33">
        <v>5</v>
      </c>
      <c r="K33">
        <v>5</v>
      </c>
      <c r="L33">
        <v>5</v>
      </c>
      <c r="M33">
        <v>5</v>
      </c>
      <c r="N33">
        <v>5</v>
      </c>
      <c r="O33">
        <v>5</v>
      </c>
      <c r="P33">
        <v>5</v>
      </c>
      <c r="Q33">
        <v>5</v>
      </c>
      <c r="R33">
        <v>3</v>
      </c>
      <c r="S33">
        <v>3</v>
      </c>
      <c r="T33">
        <v>4</v>
      </c>
      <c r="U33">
        <v>2</v>
      </c>
      <c r="V33">
        <v>3</v>
      </c>
      <c r="W33" t="s">
        <v>142</v>
      </c>
      <c r="X33" t="s">
        <v>143</v>
      </c>
      <c r="Y33" t="s">
        <v>144</v>
      </c>
      <c r="Z33" t="s">
        <v>27</v>
      </c>
      <c r="AA33" t="s">
        <v>145</v>
      </c>
      <c r="AB33" t="s">
        <v>30</v>
      </c>
    </row>
    <row r="34" spans="1:35">
      <c r="A34">
        <f>COUNTIF(Sheet1!$A$2:$A$17, B33)</f>
        <v>0</v>
      </c>
      <c r="B34">
        <v>35</v>
      </c>
      <c r="C34">
        <v>4</v>
      </c>
      <c r="D34">
        <v>3</v>
      </c>
      <c r="E34">
        <v>4</v>
      </c>
      <c r="F34">
        <v>4</v>
      </c>
      <c r="G34">
        <v>4</v>
      </c>
      <c r="H34">
        <v>3</v>
      </c>
      <c r="I34">
        <v>4</v>
      </c>
      <c r="J34">
        <v>3</v>
      </c>
      <c r="K34">
        <v>5</v>
      </c>
      <c r="L34">
        <v>5</v>
      </c>
      <c r="M34">
        <v>5</v>
      </c>
      <c r="N34">
        <v>5</v>
      </c>
      <c r="O34">
        <v>5</v>
      </c>
      <c r="P34">
        <v>3</v>
      </c>
      <c r="Q34">
        <v>1</v>
      </c>
      <c r="R34">
        <v>1</v>
      </c>
      <c r="S34">
        <v>4</v>
      </c>
      <c r="T34">
        <v>3</v>
      </c>
      <c r="U34">
        <v>2</v>
      </c>
      <c r="V34">
        <v>2</v>
      </c>
      <c r="W34" t="s">
        <v>229</v>
      </c>
      <c r="X34" t="s">
        <v>29</v>
      </c>
      <c r="Y34" t="s">
        <v>230</v>
      </c>
      <c r="Z34" t="s">
        <v>231</v>
      </c>
      <c r="AA34" t="s">
        <v>29</v>
      </c>
      <c r="AB34" t="s">
        <v>232</v>
      </c>
      <c r="AC34" t="s">
        <v>233</v>
      </c>
      <c r="AD34" t="s">
        <v>30</v>
      </c>
    </row>
    <row r="35" spans="1:35">
      <c r="A35">
        <f>COUNTIF(Sheet1!$A$2:$A$17, B34)</f>
        <v>1</v>
      </c>
      <c r="B35">
        <v>34</v>
      </c>
      <c r="C35">
        <v>3</v>
      </c>
      <c r="D35">
        <v>3</v>
      </c>
      <c r="E35">
        <v>3</v>
      </c>
      <c r="F35">
        <v>3</v>
      </c>
      <c r="G35">
        <v>3</v>
      </c>
      <c r="H35">
        <v>3</v>
      </c>
      <c r="I35">
        <v>3</v>
      </c>
      <c r="J35">
        <v>3</v>
      </c>
      <c r="K35">
        <v>3</v>
      </c>
      <c r="L35">
        <v>3</v>
      </c>
      <c r="M35">
        <v>3</v>
      </c>
      <c r="N35">
        <v>1</v>
      </c>
      <c r="O35">
        <v>1</v>
      </c>
      <c r="P35">
        <v>1</v>
      </c>
      <c r="Q35">
        <v>1</v>
      </c>
      <c r="R35">
        <v>1</v>
      </c>
      <c r="S35">
        <v>1</v>
      </c>
      <c r="T35">
        <v>1</v>
      </c>
      <c r="U35">
        <v>1</v>
      </c>
      <c r="V35">
        <v>4</v>
      </c>
      <c r="W35" t="s">
        <v>244</v>
      </c>
      <c r="X35" t="s">
        <v>245</v>
      </c>
      <c r="Y35" t="s">
        <v>246</v>
      </c>
      <c r="Z35" t="s">
        <v>247</v>
      </c>
      <c r="AA35" t="s">
        <v>248</v>
      </c>
      <c r="AB35" t="s">
        <v>249</v>
      </c>
      <c r="AC35" t="s">
        <v>30</v>
      </c>
    </row>
    <row r="36" spans="1:35">
      <c r="A36">
        <f>COUNTIF(Sheet1!$A$2:$A$17, B35)</f>
        <v>1</v>
      </c>
      <c r="B36">
        <v>33</v>
      </c>
      <c r="C36">
        <v>4</v>
      </c>
      <c r="D36">
        <v>3</v>
      </c>
      <c r="E36">
        <v>4</v>
      </c>
      <c r="F36">
        <v>4</v>
      </c>
      <c r="G36">
        <v>3</v>
      </c>
      <c r="H36">
        <v>3</v>
      </c>
      <c r="I36">
        <v>2</v>
      </c>
      <c r="J36">
        <v>2</v>
      </c>
      <c r="K36">
        <v>4</v>
      </c>
      <c r="L36">
        <v>3</v>
      </c>
      <c r="M36">
        <v>4</v>
      </c>
      <c r="N36">
        <v>4</v>
      </c>
      <c r="O36">
        <v>3</v>
      </c>
      <c r="P36">
        <v>3</v>
      </c>
      <c r="Q36">
        <v>1</v>
      </c>
      <c r="R36">
        <v>1</v>
      </c>
      <c r="S36">
        <v>1</v>
      </c>
      <c r="T36">
        <v>1</v>
      </c>
      <c r="U36">
        <v>1</v>
      </c>
      <c r="V36">
        <v>1</v>
      </c>
      <c r="W36" t="s">
        <v>113</v>
      </c>
      <c r="X36" t="s">
        <v>114</v>
      </c>
      <c r="Y36" t="s">
        <v>115</v>
      </c>
      <c r="Z36" t="s">
        <v>116</v>
      </c>
      <c r="AA36" t="s">
        <v>117</v>
      </c>
      <c r="AB36" t="s">
        <v>30</v>
      </c>
    </row>
    <row r="37" spans="1:35">
      <c r="A37">
        <f>COUNTIF(Sheet1!$A$2:$A$17, B36)</f>
        <v>0</v>
      </c>
      <c r="B37">
        <v>32</v>
      </c>
      <c r="C37">
        <v>3</v>
      </c>
      <c r="D37">
        <v>3</v>
      </c>
      <c r="E37">
        <v>3</v>
      </c>
      <c r="F37">
        <v>3</v>
      </c>
      <c r="G37">
        <v>3</v>
      </c>
      <c r="H37">
        <v>3</v>
      </c>
      <c r="I37">
        <v>3</v>
      </c>
      <c r="J37">
        <v>3</v>
      </c>
      <c r="K37">
        <v>2</v>
      </c>
      <c r="L37">
        <v>2</v>
      </c>
      <c r="M37">
        <v>2</v>
      </c>
      <c r="N37">
        <v>2</v>
      </c>
      <c r="O37">
        <v>2</v>
      </c>
      <c r="P37">
        <v>2</v>
      </c>
      <c r="Q37">
        <v>1</v>
      </c>
      <c r="R37">
        <v>2</v>
      </c>
      <c r="S37">
        <v>2</v>
      </c>
      <c r="T37">
        <v>3</v>
      </c>
      <c r="U37">
        <v>2</v>
      </c>
      <c r="V37">
        <v>1</v>
      </c>
      <c r="W37" t="s">
        <v>122</v>
      </c>
      <c r="X37" t="s">
        <v>123</v>
      </c>
      <c r="Y37" t="s">
        <v>124</v>
      </c>
      <c r="Z37" t="s">
        <v>125</v>
      </c>
      <c r="AA37" t="s">
        <v>126</v>
      </c>
      <c r="AB37" t="s">
        <v>29</v>
      </c>
      <c r="AC37" t="s">
        <v>30</v>
      </c>
    </row>
    <row r="38" spans="1:35">
      <c r="A38">
        <f>COUNTIF(Sheet1!$A$2:$A$17, B37)</f>
        <v>0</v>
      </c>
      <c r="B38">
        <v>30</v>
      </c>
      <c r="C38">
        <v>5</v>
      </c>
      <c r="D38">
        <v>5</v>
      </c>
      <c r="E38">
        <v>4</v>
      </c>
      <c r="F38">
        <v>4</v>
      </c>
      <c r="G38">
        <v>4</v>
      </c>
      <c r="H38">
        <v>3</v>
      </c>
      <c r="I38">
        <v>4</v>
      </c>
      <c r="J38">
        <v>3</v>
      </c>
      <c r="K38">
        <v>4</v>
      </c>
      <c r="L38">
        <v>4</v>
      </c>
      <c r="M38">
        <v>4</v>
      </c>
      <c r="N38">
        <v>3</v>
      </c>
      <c r="O38">
        <v>3</v>
      </c>
      <c r="P38">
        <v>4</v>
      </c>
      <c r="Q38">
        <v>4</v>
      </c>
      <c r="R38">
        <v>4</v>
      </c>
      <c r="S38">
        <v>3</v>
      </c>
      <c r="T38">
        <v>3</v>
      </c>
      <c r="U38">
        <v>4</v>
      </c>
      <c r="V38">
        <v>4</v>
      </c>
      <c r="W38" t="s">
        <v>81</v>
      </c>
      <c r="X38" t="s">
        <v>82</v>
      </c>
      <c r="Y38" t="s">
        <v>83</v>
      </c>
      <c r="Z38" t="s">
        <v>84</v>
      </c>
      <c r="AA38" t="s">
        <v>85</v>
      </c>
      <c r="AB38" t="s">
        <v>86</v>
      </c>
      <c r="AC38" t="s">
        <v>30</v>
      </c>
    </row>
    <row r="39" spans="1:35">
      <c r="A39">
        <f>COUNTIF(Sheet1!$A$2:$A$17, B38)</f>
        <v>0</v>
      </c>
      <c r="B39">
        <v>27</v>
      </c>
      <c r="C39">
        <v>5</v>
      </c>
      <c r="D39">
        <v>4</v>
      </c>
      <c r="E39">
        <v>5</v>
      </c>
      <c r="F39">
        <v>5</v>
      </c>
      <c r="G39">
        <v>5</v>
      </c>
      <c r="H39">
        <v>4</v>
      </c>
      <c r="I39">
        <v>4</v>
      </c>
      <c r="J39">
        <v>3</v>
      </c>
      <c r="K39">
        <v>5</v>
      </c>
      <c r="L39">
        <v>4</v>
      </c>
      <c r="M39">
        <v>4</v>
      </c>
      <c r="N39">
        <v>4</v>
      </c>
      <c r="O39">
        <v>5</v>
      </c>
      <c r="P39">
        <v>4</v>
      </c>
      <c r="Q39">
        <v>3</v>
      </c>
      <c r="R39">
        <v>4</v>
      </c>
      <c r="S39">
        <v>4</v>
      </c>
      <c r="T39">
        <v>4</v>
      </c>
      <c r="U39">
        <v>4</v>
      </c>
      <c r="V39">
        <v>4</v>
      </c>
      <c r="W39" t="s">
        <v>185</v>
      </c>
      <c r="X39" t="s">
        <v>186</v>
      </c>
      <c r="Y39" t="s">
        <v>187</v>
      </c>
      <c r="Z39" t="s">
        <v>188</v>
      </c>
      <c r="AA39" t="s">
        <v>189</v>
      </c>
      <c r="AB39" t="s">
        <v>190</v>
      </c>
      <c r="AC39" t="s">
        <v>30</v>
      </c>
    </row>
    <row r="40" spans="1:35">
      <c r="A40">
        <f>COUNTIF(Sheet1!$A$2:$A$17, B39)</f>
        <v>0</v>
      </c>
      <c r="B40">
        <v>26</v>
      </c>
      <c r="C40">
        <v>5</v>
      </c>
      <c r="D40">
        <v>4</v>
      </c>
      <c r="E40">
        <v>5</v>
      </c>
      <c r="F40">
        <v>5</v>
      </c>
      <c r="G40">
        <v>5</v>
      </c>
      <c r="H40">
        <v>4</v>
      </c>
      <c r="I40">
        <v>4</v>
      </c>
      <c r="J40">
        <v>4</v>
      </c>
      <c r="K40">
        <v>5</v>
      </c>
      <c r="L40">
        <v>4</v>
      </c>
      <c r="M40">
        <v>4</v>
      </c>
      <c r="N40">
        <v>4</v>
      </c>
      <c r="O40">
        <v>4</v>
      </c>
      <c r="P40">
        <v>3</v>
      </c>
      <c r="Q40">
        <v>3</v>
      </c>
      <c r="R40">
        <v>3</v>
      </c>
      <c r="S40">
        <v>3</v>
      </c>
      <c r="T40">
        <v>4</v>
      </c>
      <c r="U40">
        <v>3</v>
      </c>
      <c r="V40">
        <v>3</v>
      </c>
      <c r="W40" t="s">
        <v>137</v>
      </c>
      <c r="X40" t="s">
        <v>138</v>
      </c>
      <c r="Y40" t="s">
        <v>139</v>
      </c>
      <c r="Z40" t="s">
        <v>140</v>
      </c>
      <c r="AA40" t="s">
        <v>141</v>
      </c>
      <c r="AB40" t="s">
        <v>30</v>
      </c>
    </row>
    <row r="41" spans="1:35">
      <c r="A41">
        <f>COUNTIF(Sheet1!$A$2:$A$17, B40)</f>
        <v>1</v>
      </c>
      <c r="B41">
        <v>25</v>
      </c>
      <c r="C41">
        <v>3</v>
      </c>
      <c r="D41">
        <v>3</v>
      </c>
      <c r="E41">
        <v>3</v>
      </c>
      <c r="F41">
        <v>3</v>
      </c>
      <c r="G41">
        <v>3</v>
      </c>
      <c r="H41">
        <v>3</v>
      </c>
      <c r="I41">
        <v>3</v>
      </c>
      <c r="J41">
        <v>3</v>
      </c>
      <c r="K41">
        <v>3</v>
      </c>
      <c r="L41">
        <v>3</v>
      </c>
      <c r="M41">
        <v>3</v>
      </c>
      <c r="N41">
        <v>3</v>
      </c>
      <c r="O41">
        <v>3</v>
      </c>
      <c r="P41">
        <v>3</v>
      </c>
      <c r="Q41">
        <v>3</v>
      </c>
      <c r="R41">
        <v>3</v>
      </c>
      <c r="S41">
        <v>3</v>
      </c>
      <c r="T41">
        <v>3</v>
      </c>
      <c r="U41">
        <v>3</v>
      </c>
      <c r="V41">
        <v>3</v>
      </c>
      <c r="W41" t="s">
        <v>173</v>
      </c>
      <c r="X41" t="s">
        <v>174</v>
      </c>
      <c r="Y41" t="s">
        <v>175</v>
      </c>
      <c r="Z41" t="s">
        <v>175</v>
      </c>
      <c r="AA41" t="s">
        <v>176</v>
      </c>
      <c r="AB41" t="s">
        <v>177</v>
      </c>
      <c r="AC41" t="s">
        <v>30</v>
      </c>
    </row>
    <row r="42" spans="1:35">
      <c r="A42">
        <f>COUNTIF(Sheet1!$A$2:$A$17, B41)</f>
        <v>1</v>
      </c>
      <c r="B42">
        <v>24</v>
      </c>
      <c r="C42">
        <v>4</v>
      </c>
      <c r="D42">
        <v>4</v>
      </c>
      <c r="E42">
        <v>4</v>
      </c>
      <c r="F42">
        <v>4</v>
      </c>
      <c r="G42">
        <v>4</v>
      </c>
      <c r="H42">
        <v>4</v>
      </c>
      <c r="I42">
        <v>4</v>
      </c>
      <c r="J42">
        <v>4</v>
      </c>
      <c r="K42">
        <v>4</v>
      </c>
      <c r="L42">
        <v>4</v>
      </c>
      <c r="M42">
        <v>4</v>
      </c>
      <c r="N42">
        <v>4</v>
      </c>
      <c r="O42">
        <v>4</v>
      </c>
      <c r="P42">
        <v>4</v>
      </c>
      <c r="Q42">
        <v>4</v>
      </c>
      <c r="R42">
        <v>4</v>
      </c>
      <c r="S42">
        <v>3</v>
      </c>
      <c r="T42">
        <v>3</v>
      </c>
      <c r="U42">
        <v>3</v>
      </c>
      <c r="V42">
        <v>3</v>
      </c>
      <c r="W42" t="s">
        <v>87</v>
      </c>
      <c r="X42" t="s">
        <v>88</v>
      </c>
      <c r="Y42" t="s">
        <v>89</v>
      </c>
      <c r="Z42" t="s">
        <v>88</v>
      </c>
      <c r="AA42" t="s">
        <v>29</v>
      </c>
      <c r="AB42" t="s">
        <v>30</v>
      </c>
    </row>
    <row r="43" spans="1:35">
      <c r="A43">
        <f>COUNTIF(Sheet1!$A$2:$A$17, B42)</f>
        <v>0</v>
      </c>
      <c r="B43">
        <v>23</v>
      </c>
      <c r="C43">
        <v>4</v>
      </c>
      <c r="D43">
        <v>3</v>
      </c>
      <c r="E43">
        <v>4</v>
      </c>
      <c r="F43">
        <v>3</v>
      </c>
      <c r="G43">
        <v>3</v>
      </c>
      <c r="H43">
        <v>3</v>
      </c>
      <c r="I43">
        <v>4</v>
      </c>
      <c r="J43">
        <v>4</v>
      </c>
      <c r="K43">
        <v>5</v>
      </c>
      <c r="L43">
        <v>5</v>
      </c>
      <c r="M43">
        <v>5</v>
      </c>
      <c r="N43">
        <v>4</v>
      </c>
      <c r="O43">
        <v>4</v>
      </c>
      <c r="P43">
        <v>4</v>
      </c>
      <c r="Q43">
        <v>5</v>
      </c>
      <c r="R43">
        <v>5</v>
      </c>
      <c r="S43">
        <v>5</v>
      </c>
      <c r="T43">
        <v>4</v>
      </c>
      <c r="U43">
        <v>4</v>
      </c>
      <c r="V43">
        <v>4</v>
      </c>
      <c r="W43" t="s">
        <v>198</v>
      </c>
      <c r="X43" t="s">
        <v>29</v>
      </c>
      <c r="Y43" t="s">
        <v>199</v>
      </c>
      <c r="Z43" t="s">
        <v>29</v>
      </c>
      <c r="AA43" t="s">
        <v>200</v>
      </c>
      <c r="AB43" t="s">
        <v>30</v>
      </c>
    </row>
    <row r="44" spans="1:35">
      <c r="A44">
        <f>COUNTIF(Sheet1!$A$2:$A$17, B43)</f>
        <v>0</v>
      </c>
      <c r="B44">
        <v>21</v>
      </c>
      <c r="C44">
        <v>5</v>
      </c>
      <c r="D44">
        <v>4</v>
      </c>
      <c r="E44">
        <v>5</v>
      </c>
      <c r="F44">
        <v>4</v>
      </c>
      <c r="G44">
        <v>4</v>
      </c>
      <c r="H44">
        <v>4</v>
      </c>
      <c r="I44">
        <v>4</v>
      </c>
      <c r="J44">
        <v>4</v>
      </c>
      <c r="K44">
        <v>4</v>
      </c>
      <c r="L44">
        <v>4</v>
      </c>
      <c r="M44">
        <v>3</v>
      </c>
      <c r="N44">
        <v>3</v>
      </c>
      <c r="O44">
        <v>3</v>
      </c>
      <c r="P44">
        <v>5</v>
      </c>
      <c r="Q44">
        <v>2</v>
      </c>
      <c r="R44">
        <v>4</v>
      </c>
      <c r="S44">
        <v>4</v>
      </c>
      <c r="T44">
        <v>4</v>
      </c>
      <c r="U44">
        <v>4</v>
      </c>
      <c r="V44">
        <v>1</v>
      </c>
      <c r="W44" t="s">
        <v>154</v>
      </c>
      <c r="X44" t="s">
        <v>155</v>
      </c>
      <c r="Y44" t="s">
        <v>156</v>
      </c>
      <c r="Z44" t="s">
        <v>157</v>
      </c>
      <c r="AA44" t="s">
        <v>158</v>
      </c>
      <c r="AB44" t="s">
        <v>159</v>
      </c>
      <c r="AC44" t="s">
        <v>160</v>
      </c>
      <c r="AD44" t="s">
        <v>161</v>
      </c>
      <c r="AE44" t="s">
        <v>162</v>
      </c>
      <c r="AF44" t="s">
        <v>163</v>
      </c>
      <c r="AG44" t="s">
        <v>164</v>
      </c>
      <c r="AH44" t="s">
        <v>165</v>
      </c>
      <c r="AI44" t="s">
        <v>30</v>
      </c>
    </row>
    <row r="45" spans="1:35">
      <c r="A45">
        <f>COUNTIF(Sheet1!$A$2:$A$17, B44)</f>
        <v>1</v>
      </c>
      <c r="B45">
        <v>20</v>
      </c>
      <c r="C45">
        <v>5</v>
      </c>
      <c r="D45">
        <v>4</v>
      </c>
      <c r="E45">
        <v>5</v>
      </c>
      <c r="F45">
        <v>5</v>
      </c>
      <c r="G45">
        <v>5</v>
      </c>
      <c r="H45">
        <v>4</v>
      </c>
      <c r="I45">
        <v>4</v>
      </c>
      <c r="J45">
        <v>4</v>
      </c>
      <c r="K45">
        <v>5</v>
      </c>
      <c r="L45">
        <v>5</v>
      </c>
      <c r="M45">
        <v>5</v>
      </c>
      <c r="N45">
        <v>5</v>
      </c>
      <c r="O45">
        <v>5</v>
      </c>
      <c r="P45">
        <v>5</v>
      </c>
      <c r="Q45">
        <v>5</v>
      </c>
      <c r="R45">
        <v>4</v>
      </c>
      <c r="S45">
        <v>4</v>
      </c>
      <c r="T45">
        <v>4</v>
      </c>
      <c r="U45">
        <v>3</v>
      </c>
      <c r="V45">
        <v>3</v>
      </c>
      <c r="W45" t="s">
        <v>40</v>
      </c>
      <c r="X45" t="s">
        <v>41</v>
      </c>
      <c r="Y45" t="s">
        <v>27</v>
      </c>
      <c r="Z45" t="s">
        <v>42</v>
      </c>
      <c r="AA45" t="s">
        <v>27</v>
      </c>
      <c r="AB45" t="s">
        <v>43</v>
      </c>
      <c r="AC45" t="s">
        <v>44</v>
      </c>
      <c r="AD45" t="s">
        <v>30</v>
      </c>
    </row>
    <row r="46" spans="1:35">
      <c r="A46">
        <f>COUNTIF(Sheet1!$A$2:$A$17, B45)</f>
        <v>0</v>
      </c>
      <c r="B46">
        <v>17</v>
      </c>
      <c r="C46">
        <v>5</v>
      </c>
      <c r="D46">
        <v>5</v>
      </c>
      <c r="E46">
        <v>5</v>
      </c>
      <c r="F46">
        <v>5</v>
      </c>
      <c r="G46">
        <v>5</v>
      </c>
      <c r="H46">
        <v>5</v>
      </c>
      <c r="I46">
        <v>5</v>
      </c>
      <c r="J46">
        <v>5</v>
      </c>
      <c r="K46">
        <v>5</v>
      </c>
      <c r="L46">
        <v>5</v>
      </c>
      <c r="M46">
        <v>5</v>
      </c>
      <c r="N46">
        <v>5</v>
      </c>
      <c r="O46">
        <v>5</v>
      </c>
      <c r="P46">
        <v>5</v>
      </c>
      <c r="Q46">
        <v>5</v>
      </c>
      <c r="R46">
        <v>5</v>
      </c>
      <c r="S46">
        <v>5</v>
      </c>
      <c r="T46">
        <v>5</v>
      </c>
      <c r="U46">
        <v>5</v>
      </c>
      <c r="V46">
        <v>5</v>
      </c>
      <c r="W46" t="s">
        <v>146</v>
      </c>
      <c r="X46" t="s">
        <v>29</v>
      </c>
      <c r="Y46" t="s">
        <v>147</v>
      </c>
      <c r="Z46" t="s">
        <v>148</v>
      </c>
      <c r="AA46" t="s">
        <v>29</v>
      </c>
      <c r="AB46" t="s">
        <v>29</v>
      </c>
      <c r="AC46" t="s">
        <v>30</v>
      </c>
    </row>
    <row r="47" spans="1:35">
      <c r="A47">
        <f>COUNTIF(Sheet1!$A$2:$A$17, B46)</f>
        <v>0</v>
      </c>
      <c r="B47">
        <v>16</v>
      </c>
      <c r="C47">
        <v>2</v>
      </c>
      <c r="D47">
        <v>2</v>
      </c>
      <c r="E47">
        <v>4</v>
      </c>
      <c r="F47">
        <v>4</v>
      </c>
      <c r="G47">
        <v>4</v>
      </c>
      <c r="H47">
        <v>2</v>
      </c>
      <c r="I47">
        <v>2</v>
      </c>
      <c r="J47">
        <v>2</v>
      </c>
      <c r="K47">
        <v>5</v>
      </c>
      <c r="L47">
        <v>2</v>
      </c>
      <c r="M47">
        <v>2</v>
      </c>
      <c r="N47">
        <v>3</v>
      </c>
      <c r="O47">
        <v>2</v>
      </c>
      <c r="P47">
        <v>3</v>
      </c>
      <c r="Q47">
        <v>4</v>
      </c>
      <c r="R47">
        <v>4</v>
      </c>
      <c r="S47">
        <v>3</v>
      </c>
      <c r="T47">
        <v>3</v>
      </c>
      <c r="U47">
        <v>3</v>
      </c>
      <c r="V47">
        <v>3</v>
      </c>
      <c r="W47" t="s">
        <v>60</v>
      </c>
      <c r="X47" t="s">
        <v>29</v>
      </c>
      <c r="Y47" t="s">
        <v>61</v>
      </c>
      <c r="Z47" t="s">
        <v>62</v>
      </c>
      <c r="AA47" t="s">
        <v>29</v>
      </c>
      <c r="AB47" t="s">
        <v>63</v>
      </c>
      <c r="AC47" t="s">
        <v>64</v>
      </c>
      <c r="AD47" t="s">
        <v>30</v>
      </c>
    </row>
    <row r="48" spans="1:35">
      <c r="A48">
        <f>COUNTIF(Sheet1!$A$2:$A$17, B47)</f>
        <v>0</v>
      </c>
      <c r="B48">
        <v>14</v>
      </c>
      <c r="C48">
        <v>4</v>
      </c>
      <c r="D48">
        <v>4</v>
      </c>
      <c r="E48">
        <v>4</v>
      </c>
      <c r="F48">
        <v>4</v>
      </c>
      <c r="G48">
        <v>4</v>
      </c>
      <c r="H48">
        <v>4</v>
      </c>
      <c r="I48">
        <v>4</v>
      </c>
      <c r="J48">
        <v>4</v>
      </c>
      <c r="K48">
        <v>4</v>
      </c>
      <c r="L48">
        <v>4</v>
      </c>
      <c r="M48">
        <v>4</v>
      </c>
      <c r="N48">
        <v>4</v>
      </c>
      <c r="O48">
        <v>4</v>
      </c>
      <c r="P48">
        <v>4</v>
      </c>
      <c r="Q48">
        <v>3</v>
      </c>
      <c r="R48">
        <v>3</v>
      </c>
      <c r="S48">
        <v>4</v>
      </c>
      <c r="T48">
        <v>2</v>
      </c>
      <c r="U48">
        <v>3</v>
      </c>
      <c r="V48">
        <v>2</v>
      </c>
      <c r="W48" t="s">
        <v>65</v>
      </c>
      <c r="X48" t="s">
        <v>66</v>
      </c>
      <c r="Y48" t="s">
        <v>67</v>
      </c>
      <c r="Z48" t="s">
        <v>66</v>
      </c>
      <c r="AA48" t="s">
        <v>29</v>
      </c>
      <c r="AB48" t="s">
        <v>30</v>
      </c>
    </row>
    <row r="49" spans="1:32">
      <c r="A49">
        <f>COUNTIF(Sheet1!$A$2:$A$17, B48)</f>
        <v>0</v>
      </c>
      <c r="B49">
        <v>12</v>
      </c>
      <c r="C49">
        <v>4</v>
      </c>
      <c r="D49">
        <v>4</v>
      </c>
      <c r="E49">
        <v>4</v>
      </c>
      <c r="F49">
        <v>4</v>
      </c>
      <c r="G49">
        <v>4</v>
      </c>
      <c r="H49">
        <v>4</v>
      </c>
      <c r="I49">
        <v>3</v>
      </c>
      <c r="J49">
        <v>3</v>
      </c>
      <c r="K49">
        <v>4</v>
      </c>
      <c r="L49">
        <v>4</v>
      </c>
      <c r="M49">
        <v>4</v>
      </c>
      <c r="N49">
        <v>4</v>
      </c>
      <c r="O49">
        <v>4</v>
      </c>
      <c r="P49">
        <v>4</v>
      </c>
      <c r="Q49">
        <v>2</v>
      </c>
      <c r="R49">
        <v>4</v>
      </c>
      <c r="S49">
        <v>4</v>
      </c>
      <c r="T49">
        <v>4</v>
      </c>
      <c r="U49">
        <v>3</v>
      </c>
      <c r="V49">
        <v>2</v>
      </c>
      <c r="W49" t="s">
        <v>97</v>
      </c>
      <c r="X49" t="s">
        <v>98</v>
      </c>
      <c r="Y49" t="s">
        <v>99</v>
      </c>
      <c r="Z49" t="s">
        <v>100</v>
      </c>
      <c r="AA49" t="s">
        <v>98</v>
      </c>
      <c r="AB49" t="s">
        <v>101</v>
      </c>
      <c r="AC49" t="s">
        <v>102</v>
      </c>
      <c r="AD49" t="s">
        <v>103</v>
      </c>
      <c r="AE49" t="s">
        <v>104</v>
      </c>
      <c r="AF49" t="s">
        <v>30</v>
      </c>
    </row>
    <row r="50" spans="1:32">
      <c r="A50">
        <f>COUNTIF(Sheet1!$A$2:$A$17, B49)</f>
        <v>0</v>
      </c>
      <c r="B50">
        <v>11</v>
      </c>
      <c r="C50">
        <v>5</v>
      </c>
      <c r="D50">
        <v>5</v>
      </c>
      <c r="E50">
        <v>5</v>
      </c>
      <c r="F50">
        <v>5</v>
      </c>
      <c r="G50">
        <v>5</v>
      </c>
      <c r="H50">
        <v>5</v>
      </c>
      <c r="I50">
        <v>5</v>
      </c>
      <c r="J50">
        <v>5</v>
      </c>
      <c r="K50">
        <v>5</v>
      </c>
      <c r="L50">
        <v>5</v>
      </c>
      <c r="M50">
        <v>5</v>
      </c>
      <c r="N50">
        <v>5</v>
      </c>
      <c r="O50">
        <v>5</v>
      </c>
      <c r="P50">
        <v>5</v>
      </c>
      <c r="Q50">
        <v>5</v>
      </c>
      <c r="R50">
        <v>5</v>
      </c>
      <c r="S50">
        <v>5</v>
      </c>
      <c r="T50">
        <v>5</v>
      </c>
      <c r="U50">
        <v>5</v>
      </c>
      <c r="V50">
        <v>5</v>
      </c>
      <c r="W50" t="s">
        <v>68</v>
      </c>
      <c r="X50" t="s">
        <v>27</v>
      </c>
      <c r="Y50" t="s">
        <v>69</v>
      </c>
      <c r="Z50" t="s">
        <v>70</v>
      </c>
      <c r="AA50" t="s">
        <v>27</v>
      </c>
      <c r="AB50" t="s">
        <v>71</v>
      </c>
      <c r="AC50" t="s">
        <v>30</v>
      </c>
    </row>
    <row r="51" spans="1:32">
      <c r="A51">
        <f>COUNTIF(Sheet1!$A$2:$A$17, B50)</f>
        <v>0</v>
      </c>
      <c r="B51">
        <v>8</v>
      </c>
      <c r="C51">
        <v>4</v>
      </c>
      <c r="D51">
        <v>4</v>
      </c>
      <c r="E51">
        <v>4</v>
      </c>
      <c r="F51">
        <v>4</v>
      </c>
      <c r="G51">
        <v>4</v>
      </c>
      <c r="H51">
        <v>4</v>
      </c>
      <c r="I51">
        <v>4</v>
      </c>
      <c r="J51">
        <v>4</v>
      </c>
      <c r="K51">
        <v>4</v>
      </c>
      <c r="L51">
        <v>4</v>
      </c>
      <c r="M51">
        <v>4</v>
      </c>
      <c r="N51">
        <v>4</v>
      </c>
      <c r="O51">
        <v>4</v>
      </c>
      <c r="P51">
        <v>4</v>
      </c>
      <c r="Q51">
        <v>4</v>
      </c>
      <c r="R51">
        <v>4</v>
      </c>
      <c r="S51">
        <v>4</v>
      </c>
      <c r="T51">
        <v>4</v>
      </c>
      <c r="U51" t="s">
        <v>29</v>
      </c>
      <c r="V51">
        <v>4</v>
      </c>
      <c r="W51" t="s">
        <v>211</v>
      </c>
      <c r="X51" t="s">
        <v>27</v>
      </c>
      <c r="Y51" t="s">
        <v>27</v>
      </c>
      <c r="Z51" t="s">
        <v>27</v>
      </c>
      <c r="AA51" t="s">
        <v>212</v>
      </c>
      <c r="AB51" t="s">
        <v>30</v>
      </c>
    </row>
    <row r="52" spans="1:32">
      <c r="A52">
        <f>COUNTIF(Sheet1!$A$2:$A$17, B51)</f>
        <v>0</v>
      </c>
      <c r="B52">
        <v>7</v>
      </c>
      <c r="C52">
        <v>4</v>
      </c>
      <c r="D52">
        <v>4</v>
      </c>
      <c r="E52">
        <v>4</v>
      </c>
      <c r="F52">
        <v>4</v>
      </c>
      <c r="G52">
        <v>4</v>
      </c>
      <c r="H52">
        <v>4</v>
      </c>
      <c r="I52">
        <v>4</v>
      </c>
      <c r="J52">
        <v>4</v>
      </c>
      <c r="K52">
        <v>4</v>
      </c>
      <c r="L52">
        <v>4</v>
      </c>
      <c r="M52">
        <v>4</v>
      </c>
      <c r="N52">
        <v>4</v>
      </c>
      <c r="O52">
        <v>4</v>
      </c>
      <c r="P52" t="s">
        <v>29</v>
      </c>
      <c r="Q52">
        <v>4</v>
      </c>
      <c r="R52">
        <v>4</v>
      </c>
      <c r="S52">
        <v>4</v>
      </c>
      <c r="T52">
        <v>4</v>
      </c>
      <c r="U52">
        <v>4</v>
      </c>
      <c r="V52">
        <v>4</v>
      </c>
      <c r="W52" t="s">
        <v>201</v>
      </c>
      <c r="X52" t="s">
        <v>202</v>
      </c>
      <c r="Y52" t="s">
        <v>203</v>
      </c>
      <c r="Z52" t="s">
        <v>204</v>
      </c>
      <c r="AA52" t="s">
        <v>29</v>
      </c>
      <c r="AB52" t="s">
        <v>30</v>
      </c>
    </row>
    <row r="53" spans="1:32">
      <c r="A53">
        <f>COUNTIF(Sheet1!$A$2:$A$17, B52)</f>
        <v>1</v>
      </c>
      <c r="B53">
        <v>6</v>
      </c>
      <c r="C53">
        <v>4</v>
      </c>
      <c r="D53">
        <v>3</v>
      </c>
      <c r="E53">
        <v>4</v>
      </c>
      <c r="F53">
        <v>3</v>
      </c>
      <c r="G53">
        <v>4</v>
      </c>
      <c r="H53">
        <v>4</v>
      </c>
      <c r="I53">
        <v>4</v>
      </c>
      <c r="J53" t="s">
        <v>29</v>
      </c>
      <c r="K53">
        <v>5</v>
      </c>
      <c r="L53">
        <v>2</v>
      </c>
      <c r="M53">
        <v>2</v>
      </c>
      <c r="N53">
        <v>5</v>
      </c>
      <c r="O53">
        <v>5</v>
      </c>
      <c r="P53">
        <v>2</v>
      </c>
      <c r="Q53">
        <v>3</v>
      </c>
      <c r="R53">
        <v>4</v>
      </c>
      <c r="S53">
        <v>4</v>
      </c>
      <c r="T53">
        <v>4</v>
      </c>
      <c r="U53">
        <v>4</v>
      </c>
      <c r="V53">
        <v>3</v>
      </c>
      <c r="W53" t="s">
        <v>133</v>
      </c>
      <c r="X53" t="s">
        <v>106</v>
      </c>
      <c r="Y53" t="s">
        <v>134</v>
      </c>
      <c r="Z53" t="s">
        <v>135</v>
      </c>
      <c r="AA53" t="s">
        <v>29</v>
      </c>
      <c r="AB53" t="s">
        <v>136</v>
      </c>
      <c r="AC53" t="s">
        <v>30</v>
      </c>
    </row>
    <row r="54" spans="1:32">
      <c r="A54">
        <f>COUNTIF(Sheet1!$A$2:$A$17, B53)</f>
        <v>0</v>
      </c>
      <c r="B54">
        <v>4</v>
      </c>
      <c r="C54">
        <v>5</v>
      </c>
      <c r="D54">
        <v>5</v>
      </c>
      <c r="E54">
        <v>5</v>
      </c>
      <c r="F54">
        <v>5</v>
      </c>
      <c r="G54">
        <v>5</v>
      </c>
      <c r="H54">
        <v>5</v>
      </c>
      <c r="I54">
        <v>5</v>
      </c>
      <c r="J54">
        <v>5</v>
      </c>
      <c r="K54">
        <v>5</v>
      </c>
      <c r="L54">
        <v>5</v>
      </c>
      <c r="M54">
        <v>5</v>
      </c>
      <c r="N54">
        <v>5</v>
      </c>
      <c r="O54">
        <v>5</v>
      </c>
      <c r="P54">
        <v>5</v>
      </c>
      <c r="Q54">
        <v>5</v>
      </c>
      <c r="R54">
        <v>5</v>
      </c>
      <c r="S54">
        <v>5</v>
      </c>
      <c r="T54">
        <v>5</v>
      </c>
      <c r="U54">
        <v>5</v>
      </c>
      <c r="V54">
        <v>5</v>
      </c>
      <c r="W54" t="s">
        <v>178</v>
      </c>
      <c r="X54" t="s">
        <v>27</v>
      </c>
      <c r="Y54" t="s">
        <v>179</v>
      </c>
      <c r="Z54" t="s">
        <v>180</v>
      </c>
      <c r="AA54" t="s">
        <v>181</v>
      </c>
      <c r="AB54" t="s">
        <v>182</v>
      </c>
      <c r="AC54" t="s">
        <v>27</v>
      </c>
      <c r="AD54" t="s">
        <v>183</v>
      </c>
      <c r="AE54" t="s">
        <v>184</v>
      </c>
      <c r="AF54" t="s">
        <v>30</v>
      </c>
    </row>
    <row r="55" spans="1:32">
      <c r="B55" t="s">
        <v>334</v>
      </c>
      <c r="C55">
        <f t="shared" ref="C55:V55" si="0">AVERAGE(C2:C54)</f>
        <v>4</v>
      </c>
      <c r="D55">
        <f t="shared" si="0"/>
        <v>3.6981132075471699</v>
      </c>
      <c r="E55">
        <f t="shared" si="0"/>
        <v>4.0943396226415096</v>
      </c>
      <c r="F55">
        <f t="shared" si="0"/>
        <v>3.9230769230769229</v>
      </c>
      <c r="G55">
        <f t="shared" si="0"/>
        <v>4.0754716981132075</v>
      </c>
      <c r="H55">
        <f t="shared" si="0"/>
        <v>3.7169811320754715</v>
      </c>
      <c r="I55">
        <f t="shared" si="0"/>
        <v>3.641509433962264</v>
      </c>
      <c r="J55">
        <f t="shared" si="0"/>
        <v>3.6538461538461537</v>
      </c>
      <c r="K55">
        <f t="shared" si="0"/>
        <v>4</v>
      </c>
      <c r="L55">
        <f t="shared" si="0"/>
        <v>3.9056603773584904</v>
      </c>
      <c r="M55">
        <f t="shared" si="0"/>
        <v>3.9245283018867925</v>
      </c>
      <c r="N55">
        <f t="shared" si="0"/>
        <v>3.8653846153846154</v>
      </c>
      <c r="O55">
        <f t="shared" si="0"/>
        <v>3.7358490566037736</v>
      </c>
      <c r="P55">
        <f t="shared" si="0"/>
        <v>3.6153846153846154</v>
      </c>
      <c r="Q55">
        <f t="shared" si="0"/>
        <v>3.3396226415094339</v>
      </c>
      <c r="R55">
        <f t="shared" si="0"/>
        <v>3.4150943396226414</v>
      </c>
      <c r="S55">
        <f t="shared" si="0"/>
        <v>3.4716981132075473</v>
      </c>
      <c r="T55">
        <f t="shared" si="0"/>
        <v>3.4716981132075473</v>
      </c>
      <c r="U55">
        <f t="shared" si="0"/>
        <v>3.2692307692307692</v>
      </c>
      <c r="V55">
        <f t="shared" si="0"/>
        <v>3.1509433962264151</v>
      </c>
    </row>
    <row r="56" spans="1:32">
      <c r="B56" t="s">
        <v>335</v>
      </c>
      <c r="C56">
        <f>AVERAGEIF($A:$A, 1,C:C )</f>
        <v>4.0714285714285712</v>
      </c>
      <c r="D56">
        <f t="shared" ref="D56:L56" si="1">AVERAGEIF($A:$A, 1,D:D )</f>
        <v>3.8571428571428572</v>
      </c>
      <c r="E56">
        <f t="shared" si="1"/>
        <v>4.0714285714285712</v>
      </c>
      <c r="F56">
        <f t="shared" si="1"/>
        <v>4</v>
      </c>
      <c r="G56">
        <f t="shared" si="1"/>
        <v>4</v>
      </c>
      <c r="H56">
        <f t="shared" si="1"/>
        <v>3.9285714285714284</v>
      </c>
      <c r="I56">
        <f t="shared" si="1"/>
        <v>3.8571428571428572</v>
      </c>
      <c r="J56">
        <f t="shared" si="1"/>
        <v>3.8461538461538463</v>
      </c>
      <c r="K56">
        <f t="shared" si="1"/>
        <v>4.1428571428571432</v>
      </c>
      <c r="L56">
        <f t="shared" si="1"/>
        <v>3.5</v>
      </c>
    </row>
    <row r="57" spans="1:32">
      <c r="B57" t="s">
        <v>336</v>
      </c>
      <c r="C57">
        <f>AVERAGEIF($A:$A, 0,C:C )</f>
        <v>3.9743589743589745</v>
      </c>
      <c r="D57">
        <f t="shared" ref="D57:L57" si="2">AVERAGEIF($A:$A, 0,D:D )</f>
        <v>3.641025641025641</v>
      </c>
      <c r="E57">
        <f t="shared" si="2"/>
        <v>4.1025641025641022</v>
      </c>
      <c r="F57">
        <f t="shared" si="2"/>
        <v>3.8947368421052633</v>
      </c>
      <c r="G57">
        <f t="shared" si="2"/>
        <v>4.1025641025641022</v>
      </c>
      <c r="H57">
        <f t="shared" si="2"/>
        <v>3.641025641025641</v>
      </c>
      <c r="I57">
        <f t="shared" si="2"/>
        <v>3.5641025641025643</v>
      </c>
      <c r="J57">
        <f t="shared" si="2"/>
        <v>3.5897435897435899</v>
      </c>
      <c r="K57">
        <f t="shared" si="2"/>
        <v>3.9444444444444446</v>
      </c>
      <c r="L57">
        <f t="shared" si="2"/>
        <v>4.0512820512820511</v>
      </c>
      <c r="P57" t="s">
        <v>322</v>
      </c>
      <c r="Q57" t="s">
        <v>323</v>
      </c>
      <c r="R57" t="s">
        <v>324</v>
      </c>
      <c r="S57" t="s">
        <v>325</v>
      </c>
      <c r="T57" t="s">
        <v>326</v>
      </c>
      <c r="U57" t="s">
        <v>327</v>
      </c>
    </row>
    <row r="59" spans="1:32">
      <c r="C59" t="s">
        <v>312</v>
      </c>
      <c r="D59" t="s">
        <v>313</v>
      </c>
      <c r="E59" t="s">
        <v>314</v>
      </c>
      <c r="F59" t="s">
        <v>315</v>
      </c>
      <c r="G59" t="s">
        <v>316</v>
      </c>
      <c r="H59" t="s">
        <v>318</v>
      </c>
      <c r="I59" t="s">
        <v>319</v>
      </c>
      <c r="J59" t="s">
        <v>320</v>
      </c>
      <c r="K59" t="s">
        <v>321</v>
      </c>
      <c r="L59" t="s">
        <v>317</v>
      </c>
    </row>
    <row r="64" spans="1:32">
      <c r="B64" t="s">
        <v>331</v>
      </c>
      <c r="C64">
        <v>3.3018867919999999</v>
      </c>
      <c r="D64">
        <v>3.2075471699999998</v>
      </c>
      <c r="E64">
        <v>3.384615385</v>
      </c>
      <c r="F64">
        <v>3.1509433960000002</v>
      </c>
      <c r="G64">
        <v>3.41509434</v>
      </c>
      <c r="H64">
        <v>3.226415094</v>
      </c>
      <c r="I64">
        <v>3.153846154</v>
      </c>
      <c r="J64">
        <v>3.2452830189999999</v>
      </c>
      <c r="K64">
        <v>3.3396226420000001</v>
      </c>
      <c r="L64">
        <v>3.5471698109999998</v>
      </c>
    </row>
    <row r="65" spans="2:12">
      <c r="B65" t="s">
        <v>332</v>
      </c>
      <c r="C65">
        <v>3</v>
      </c>
      <c r="D65">
        <v>2.8571428569999999</v>
      </c>
      <c r="E65">
        <v>3.1428571430000001</v>
      </c>
      <c r="F65">
        <v>2.9285714289999998</v>
      </c>
      <c r="G65">
        <v>3.1428571430000001</v>
      </c>
      <c r="H65">
        <v>2.9285714289999998</v>
      </c>
      <c r="I65">
        <v>3</v>
      </c>
      <c r="J65">
        <v>3.0714285710000002</v>
      </c>
      <c r="K65">
        <v>3.0714285710000002</v>
      </c>
      <c r="L65">
        <v>3.4285714289999998</v>
      </c>
    </row>
    <row r="66" spans="2:12">
      <c r="B66" t="s">
        <v>333</v>
      </c>
      <c r="C66">
        <v>3.4102564100000001</v>
      </c>
      <c r="D66">
        <v>3.3333333330000001</v>
      </c>
      <c r="E66">
        <v>3.4736842110000001</v>
      </c>
      <c r="F66">
        <v>3.230769231</v>
      </c>
      <c r="G66">
        <v>3.5128205129999999</v>
      </c>
      <c r="H66">
        <v>3.3333333330000001</v>
      </c>
      <c r="I66">
        <v>3.2051282049999998</v>
      </c>
      <c r="J66">
        <v>3.307692308</v>
      </c>
      <c r="K66">
        <v>3.4358974359999999</v>
      </c>
      <c r="L66">
        <v>3.5897435899999999</v>
      </c>
    </row>
    <row r="67" spans="2:12">
      <c r="B67" t="s">
        <v>334</v>
      </c>
      <c r="C67">
        <v>4</v>
      </c>
      <c r="D67">
        <v>3.6981132080000001</v>
      </c>
      <c r="E67">
        <v>4.0943396229999998</v>
      </c>
      <c r="F67">
        <v>3.923076923</v>
      </c>
      <c r="G67">
        <v>4.0754716980000003</v>
      </c>
      <c r="H67">
        <v>3.7169811319999999</v>
      </c>
      <c r="I67">
        <v>3.641509434</v>
      </c>
      <c r="J67">
        <v>3.653846154</v>
      </c>
      <c r="K67">
        <v>4</v>
      </c>
      <c r="L67">
        <v>3.9056603769999998</v>
      </c>
    </row>
    <row r="68" spans="2:12">
      <c r="B68" t="s">
        <v>335</v>
      </c>
      <c r="C68">
        <v>4.0714285710000002</v>
      </c>
      <c r="D68">
        <v>3.8571428569999999</v>
      </c>
      <c r="E68">
        <v>4.0714285710000002</v>
      </c>
      <c r="F68">
        <v>4</v>
      </c>
      <c r="G68">
        <v>4</v>
      </c>
      <c r="H68">
        <v>3.9285714289999998</v>
      </c>
      <c r="I68">
        <v>3.8571428569999999</v>
      </c>
      <c r="J68">
        <v>3.846153846</v>
      </c>
      <c r="K68">
        <v>4.1428571429999996</v>
      </c>
      <c r="L68">
        <v>3.5</v>
      </c>
    </row>
    <row r="69" spans="2:12">
      <c r="B69" t="s">
        <v>336</v>
      </c>
      <c r="C69">
        <v>3.9743589739999998</v>
      </c>
      <c r="D69">
        <v>3.6410256410000001</v>
      </c>
      <c r="E69">
        <v>4.1025641029999997</v>
      </c>
      <c r="F69">
        <v>3.8947368419999999</v>
      </c>
      <c r="G69">
        <v>4.1025641029999997</v>
      </c>
      <c r="H69">
        <v>3.6410256410000001</v>
      </c>
      <c r="I69">
        <v>3.5641025640000001</v>
      </c>
      <c r="J69">
        <v>3.5897435899999999</v>
      </c>
      <c r="K69">
        <v>3.9444444440000002</v>
      </c>
      <c r="L69">
        <v>4.0512820510000003</v>
      </c>
    </row>
  </sheetData>
  <sortState ref="B1:AI56">
    <sortCondition descending="1" ref="B2"/>
  </sortState>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workbookViewId="0">
      <selection activeCell="C11" sqref="C11:M13"/>
    </sheetView>
  </sheetViews>
  <sheetFormatPr baseColWidth="10" defaultColWidth="11" defaultRowHeight="15" x14ac:dyDescent="0"/>
  <cols>
    <col min="1" max="1" width="20.6640625" bestFit="1" customWidth="1"/>
  </cols>
  <sheetData>
    <row r="1" spans="1:13">
      <c r="A1" t="s">
        <v>276</v>
      </c>
    </row>
    <row r="2" spans="1:13">
      <c r="A2" s="1">
        <v>26</v>
      </c>
    </row>
    <row r="3" spans="1:13">
      <c r="A3">
        <v>25</v>
      </c>
    </row>
    <row r="4" spans="1:13">
      <c r="A4">
        <v>56</v>
      </c>
    </row>
    <row r="5" spans="1:13">
      <c r="A5">
        <v>21</v>
      </c>
    </row>
    <row r="6" spans="1:13">
      <c r="A6">
        <v>66</v>
      </c>
    </row>
    <row r="7" spans="1:13">
      <c r="A7">
        <v>61</v>
      </c>
    </row>
    <row r="8" spans="1:13">
      <c r="A8">
        <v>35</v>
      </c>
    </row>
    <row r="9" spans="1:13">
      <c r="A9">
        <v>37</v>
      </c>
    </row>
    <row r="10" spans="1:13">
      <c r="A10">
        <v>71</v>
      </c>
    </row>
    <row r="11" spans="1:13">
      <c r="A11">
        <v>70</v>
      </c>
      <c r="C11" t="s">
        <v>331</v>
      </c>
      <c r="D11">
        <v>3.3018867919999999</v>
      </c>
      <c r="E11">
        <v>3.2075471699999998</v>
      </c>
      <c r="F11">
        <v>3.384615385</v>
      </c>
      <c r="G11">
        <v>3.1509433960000002</v>
      </c>
      <c r="H11">
        <v>3.41509434</v>
      </c>
      <c r="I11">
        <v>3.226415094</v>
      </c>
      <c r="J11">
        <v>3.153846154</v>
      </c>
      <c r="K11">
        <v>3.2452830189999999</v>
      </c>
      <c r="L11">
        <v>3.3396226420000001</v>
      </c>
      <c r="M11">
        <v>3.5471698109999998</v>
      </c>
    </row>
    <row r="12" spans="1:13">
      <c r="A12">
        <v>76</v>
      </c>
      <c r="C12" t="s">
        <v>332</v>
      </c>
      <c r="D12">
        <v>3</v>
      </c>
      <c r="E12">
        <v>2.8571428569999999</v>
      </c>
      <c r="F12">
        <v>3.1428571430000001</v>
      </c>
      <c r="G12">
        <v>2.9285714289999998</v>
      </c>
      <c r="H12">
        <v>3.1428571430000001</v>
      </c>
      <c r="I12">
        <v>2.9285714289999998</v>
      </c>
      <c r="J12">
        <v>3</v>
      </c>
      <c r="K12">
        <v>3.0714285710000002</v>
      </c>
      <c r="L12">
        <v>3.0714285710000002</v>
      </c>
      <c r="M12">
        <v>3.4285714289999998</v>
      </c>
    </row>
    <row r="13" spans="1:13">
      <c r="A13">
        <v>69</v>
      </c>
      <c r="C13" t="s">
        <v>333</v>
      </c>
      <c r="D13">
        <v>3.4102564100000001</v>
      </c>
      <c r="E13">
        <v>3.3333333330000001</v>
      </c>
      <c r="F13">
        <v>3.4736842110000001</v>
      </c>
      <c r="G13">
        <v>3.230769231</v>
      </c>
      <c r="H13">
        <v>3.5128205129999999</v>
      </c>
      <c r="I13">
        <v>3.3333333330000001</v>
      </c>
      <c r="J13">
        <v>3.2051282049999998</v>
      </c>
      <c r="K13">
        <v>3.307692308</v>
      </c>
      <c r="L13">
        <v>3.4358974359999999</v>
      </c>
      <c r="M13">
        <v>3.5897435899999999</v>
      </c>
    </row>
    <row r="14" spans="1:13">
      <c r="A14">
        <v>7</v>
      </c>
    </row>
    <row r="15" spans="1:13">
      <c r="A15">
        <v>34</v>
      </c>
    </row>
    <row r="16" spans="1:13">
      <c r="A16">
        <v>77</v>
      </c>
    </row>
    <row r="17" spans="1:1">
      <c r="A17">
        <v>67</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89"/>
  <sheetViews>
    <sheetView topLeftCell="A43" workbookViewId="0">
      <selection activeCell="T56" sqref="T56"/>
    </sheetView>
  </sheetViews>
  <sheetFormatPr baseColWidth="10" defaultColWidth="11" defaultRowHeight="15" x14ac:dyDescent="0"/>
  <sheetData>
    <row r="1" spans="1:32">
      <c r="A1">
        <v>7</v>
      </c>
      <c r="B1">
        <v>1003</v>
      </c>
      <c r="C1">
        <v>21</v>
      </c>
      <c r="D1">
        <v>89</v>
      </c>
      <c r="E1">
        <v>25</v>
      </c>
      <c r="F1">
        <v>33</v>
      </c>
      <c r="G1">
        <v>26</v>
      </c>
      <c r="H1">
        <v>423</v>
      </c>
      <c r="I1">
        <v>34</v>
      </c>
      <c r="J1">
        <v>124</v>
      </c>
      <c r="K1">
        <v>35</v>
      </c>
      <c r="L1">
        <v>59</v>
      </c>
      <c r="M1">
        <v>37</v>
      </c>
      <c r="N1">
        <v>427</v>
      </c>
      <c r="O1">
        <v>56</v>
      </c>
      <c r="P1">
        <v>31</v>
      </c>
      <c r="Q1">
        <v>61</v>
      </c>
      <c r="R1">
        <v>34</v>
      </c>
      <c r="S1">
        <v>66</v>
      </c>
      <c r="T1">
        <v>36</v>
      </c>
      <c r="U1">
        <v>67</v>
      </c>
      <c r="V1">
        <v>231</v>
      </c>
      <c r="W1">
        <v>69</v>
      </c>
      <c r="X1">
        <v>32</v>
      </c>
      <c r="Y1">
        <v>70</v>
      </c>
      <c r="Z1">
        <v>141</v>
      </c>
      <c r="AA1">
        <v>71</v>
      </c>
      <c r="AB1">
        <v>29</v>
      </c>
      <c r="AC1">
        <v>76</v>
      </c>
      <c r="AD1">
        <v>95</v>
      </c>
      <c r="AE1">
        <v>77</v>
      </c>
      <c r="AF1">
        <v>25</v>
      </c>
    </row>
    <row r="2" spans="1:32">
      <c r="A2">
        <v>7</v>
      </c>
      <c r="B2">
        <v>70</v>
      </c>
      <c r="C2">
        <v>21</v>
      </c>
      <c r="D2">
        <v>29</v>
      </c>
      <c r="E2">
        <v>25</v>
      </c>
      <c r="F2">
        <v>25</v>
      </c>
      <c r="G2">
        <v>26</v>
      </c>
      <c r="H2">
        <v>6</v>
      </c>
      <c r="I2">
        <v>34</v>
      </c>
      <c r="J2">
        <v>13</v>
      </c>
      <c r="K2">
        <v>35</v>
      </c>
      <c r="L2">
        <v>16</v>
      </c>
      <c r="M2">
        <v>37</v>
      </c>
      <c r="N2">
        <v>67</v>
      </c>
      <c r="O2">
        <v>56</v>
      </c>
      <c r="P2">
        <v>108</v>
      </c>
      <c r="Q2">
        <v>61</v>
      </c>
      <c r="R2">
        <v>81</v>
      </c>
      <c r="S2">
        <v>66</v>
      </c>
      <c r="T2">
        <v>23</v>
      </c>
      <c r="W2">
        <v>69</v>
      </c>
      <c r="X2">
        <v>48</v>
      </c>
      <c r="Y2">
        <v>70</v>
      </c>
      <c r="Z2">
        <v>104</v>
      </c>
      <c r="AA2">
        <v>71</v>
      </c>
      <c r="AB2">
        <v>67</v>
      </c>
      <c r="AC2">
        <v>76</v>
      </c>
      <c r="AD2">
        <v>639</v>
      </c>
      <c r="AE2">
        <v>77</v>
      </c>
      <c r="AF2">
        <v>15</v>
      </c>
    </row>
    <row r="3" spans="1:32">
      <c r="A3">
        <v>7</v>
      </c>
      <c r="B3">
        <v>26</v>
      </c>
      <c r="C3">
        <v>21</v>
      </c>
      <c r="D3">
        <v>20</v>
      </c>
      <c r="E3">
        <v>25</v>
      </c>
      <c r="F3">
        <v>136</v>
      </c>
      <c r="G3">
        <v>26</v>
      </c>
      <c r="H3">
        <v>38</v>
      </c>
      <c r="I3">
        <v>34</v>
      </c>
      <c r="J3">
        <v>4</v>
      </c>
      <c r="K3">
        <v>35</v>
      </c>
      <c r="L3">
        <v>55</v>
      </c>
      <c r="M3">
        <v>37</v>
      </c>
      <c r="N3">
        <v>355</v>
      </c>
      <c r="O3">
        <v>56</v>
      </c>
      <c r="P3">
        <v>123</v>
      </c>
      <c r="Q3">
        <v>61</v>
      </c>
      <c r="R3">
        <v>90</v>
      </c>
      <c r="S3">
        <v>66</v>
      </c>
      <c r="T3">
        <v>16</v>
      </c>
      <c r="W3">
        <v>69</v>
      </c>
      <c r="X3">
        <v>136</v>
      </c>
      <c r="Y3">
        <v>70</v>
      </c>
      <c r="Z3">
        <v>30</v>
      </c>
      <c r="AA3">
        <v>71</v>
      </c>
      <c r="AB3">
        <v>34</v>
      </c>
      <c r="AC3">
        <v>76</v>
      </c>
      <c r="AD3">
        <v>54</v>
      </c>
      <c r="AE3">
        <v>77</v>
      </c>
      <c r="AF3">
        <v>13</v>
      </c>
    </row>
    <row r="4" spans="1:32">
      <c r="A4">
        <v>7</v>
      </c>
      <c r="B4">
        <v>11</v>
      </c>
      <c r="C4">
        <v>21</v>
      </c>
      <c r="D4">
        <v>17</v>
      </c>
      <c r="E4">
        <v>25</v>
      </c>
      <c r="F4">
        <v>114</v>
      </c>
      <c r="G4">
        <v>26</v>
      </c>
      <c r="H4">
        <v>75</v>
      </c>
      <c r="I4">
        <v>34</v>
      </c>
      <c r="J4">
        <v>149</v>
      </c>
      <c r="K4">
        <v>35</v>
      </c>
      <c r="L4">
        <v>23</v>
      </c>
      <c r="M4">
        <v>37</v>
      </c>
      <c r="N4">
        <v>129</v>
      </c>
      <c r="O4">
        <v>56</v>
      </c>
      <c r="P4">
        <v>51</v>
      </c>
      <c r="Q4">
        <v>61</v>
      </c>
      <c r="R4">
        <v>50</v>
      </c>
      <c r="S4">
        <v>66</v>
      </c>
      <c r="T4">
        <v>40</v>
      </c>
      <c r="W4">
        <v>69</v>
      </c>
      <c r="X4">
        <v>26</v>
      </c>
      <c r="Y4">
        <v>70</v>
      </c>
      <c r="Z4">
        <v>65</v>
      </c>
      <c r="AA4">
        <v>71</v>
      </c>
      <c r="AB4">
        <v>36</v>
      </c>
      <c r="AC4">
        <v>76</v>
      </c>
      <c r="AD4">
        <v>33</v>
      </c>
      <c r="AE4">
        <v>77</v>
      </c>
      <c r="AF4">
        <v>15</v>
      </c>
    </row>
    <row r="5" spans="1:32">
      <c r="A5">
        <v>7</v>
      </c>
      <c r="B5">
        <v>202</v>
      </c>
      <c r="C5">
        <v>21</v>
      </c>
      <c r="D5">
        <v>60</v>
      </c>
      <c r="E5">
        <v>25</v>
      </c>
      <c r="F5">
        <v>207</v>
      </c>
      <c r="G5">
        <v>26</v>
      </c>
      <c r="H5">
        <v>104</v>
      </c>
      <c r="I5">
        <v>34</v>
      </c>
      <c r="J5">
        <v>26</v>
      </c>
      <c r="K5">
        <v>35</v>
      </c>
      <c r="L5">
        <v>23</v>
      </c>
      <c r="M5">
        <v>37</v>
      </c>
      <c r="N5">
        <v>115</v>
      </c>
      <c r="O5">
        <v>56</v>
      </c>
      <c r="P5">
        <v>125</v>
      </c>
      <c r="Q5">
        <v>61</v>
      </c>
      <c r="R5">
        <v>35</v>
      </c>
      <c r="S5">
        <v>66</v>
      </c>
      <c r="T5">
        <v>18</v>
      </c>
      <c r="W5">
        <v>69</v>
      </c>
      <c r="X5">
        <v>24</v>
      </c>
      <c r="Y5">
        <v>70</v>
      </c>
      <c r="Z5">
        <v>52</v>
      </c>
      <c r="AA5">
        <v>71</v>
      </c>
      <c r="AB5">
        <v>24</v>
      </c>
      <c r="AC5">
        <v>76</v>
      </c>
      <c r="AD5">
        <v>16</v>
      </c>
      <c r="AE5">
        <v>77</v>
      </c>
      <c r="AF5">
        <v>18</v>
      </c>
    </row>
    <row r="6" spans="1:32">
      <c r="A6">
        <v>7</v>
      </c>
      <c r="B6">
        <v>83</v>
      </c>
      <c r="C6">
        <v>21</v>
      </c>
      <c r="D6">
        <v>24</v>
      </c>
      <c r="E6">
        <v>25</v>
      </c>
      <c r="F6">
        <v>69</v>
      </c>
      <c r="G6">
        <v>26</v>
      </c>
      <c r="H6">
        <v>123</v>
      </c>
      <c r="K6">
        <v>35</v>
      </c>
      <c r="L6">
        <v>16</v>
      </c>
      <c r="M6">
        <v>37</v>
      </c>
      <c r="N6">
        <v>34</v>
      </c>
      <c r="O6">
        <v>56</v>
      </c>
      <c r="P6">
        <v>57</v>
      </c>
      <c r="Q6">
        <v>61</v>
      </c>
      <c r="R6">
        <v>34</v>
      </c>
      <c r="S6">
        <v>66</v>
      </c>
      <c r="T6">
        <v>18</v>
      </c>
      <c r="W6">
        <v>69</v>
      </c>
      <c r="X6">
        <v>21</v>
      </c>
      <c r="Y6">
        <v>70</v>
      </c>
      <c r="Z6">
        <v>26</v>
      </c>
      <c r="AA6">
        <v>71</v>
      </c>
      <c r="AB6">
        <v>26</v>
      </c>
      <c r="AC6">
        <v>76</v>
      </c>
      <c r="AD6">
        <v>41</v>
      </c>
      <c r="AE6">
        <v>77</v>
      </c>
      <c r="AF6">
        <v>12</v>
      </c>
    </row>
    <row r="7" spans="1:32">
      <c r="A7">
        <v>7</v>
      </c>
      <c r="B7">
        <v>375</v>
      </c>
      <c r="C7">
        <v>21</v>
      </c>
      <c r="D7">
        <v>28</v>
      </c>
      <c r="E7">
        <v>25</v>
      </c>
      <c r="F7">
        <v>5</v>
      </c>
      <c r="G7">
        <v>26</v>
      </c>
      <c r="H7">
        <v>160</v>
      </c>
      <c r="K7">
        <v>35</v>
      </c>
      <c r="L7">
        <v>17</v>
      </c>
      <c r="M7">
        <v>37</v>
      </c>
      <c r="N7">
        <v>55</v>
      </c>
      <c r="O7">
        <v>56</v>
      </c>
      <c r="P7">
        <v>28</v>
      </c>
      <c r="Q7">
        <v>61</v>
      </c>
      <c r="R7">
        <v>30</v>
      </c>
      <c r="S7">
        <v>66</v>
      </c>
      <c r="T7">
        <v>13</v>
      </c>
      <c r="W7">
        <v>69</v>
      </c>
      <c r="X7">
        <v>26</v>
      </c>
      <c r="Y7">
        <v>70</v>
      </c>
      <c r="Z7">
        <v>31</v>
      </c>
      <c r="AA7">
        <v>71</v>
      </c>
      <c r="AB7">
        <v>18</v>
      </c>
      <c r="AC7">
        <v>76</v>
      </c>
      <c r="AD7">
        <v>16</v>
      </c>
      <c r="AE7">
        <v>77</v>
      </c>
      <c r="AF7">
        <v>16</v>
      </c>
    </row>
    <row r="8" spans="1:32">
      <c r="A8">
        <v>7</v>
      </c>
      <c r="B8">
        <v>164</v>
      </c>
      <c r="C8">
        <v>21</v>
      </c>
      <c r="D8">
        <v>9</v>
      </c>
      <c r="E8">
        <v>25</v>
      </c>
      <c r="F8">
        <v>21</v>
      </c>
      <c r="G8">
        <v>26</v>
      </c>
      <c r="H8">
        <v>32</v>
      </c>
      <c r="K8">
        <v>35</v>
      </c>
      <c r="L8">
        <v>19</v>
      </c>
      <c r="M8">
        <v>37</v>
      </c>
      <c r="N8">
        <v>88</v>
      </c>
      <c r="O8">
        <v>56</v>
      </c>
      <c r="P8">
        <v>50</v>
      </c>
      <c r="Q8">
        <v>61</v>
      </c>
      <c r="R8">
        <v>28</v>
      </c>
      <c r="S8">
        <v>66</v>
      </c>
      <c r="T8">
        <v>27</v>
      </c>
      <c r="W8">
        <v>69</v>
      </c>
      <c r="X8">
        <v>19</v>
      </c>
      <c r="Y8">
        <v>70</v>
      </c>
      <c r="Z8">
        <v>25</v>
      </c>
      <c r="AA8">
        <v>71</v>
      </c>
      <c r="AB8">
        <v>19</v>
      </c>
      <c r="AC8">
        <v>76</v>
      </c>
      <c r="AD8">
        <v>15</v>
      </c>
      <c r="AE8">
        <v>77</v>
      </c>
      <c r="AF8">
        <v>11</v>
      </c>
    </row>
    <row r="9" spans="1:32">
      <c r="A9">
        <v>7</v>
      </c>
      <c r="B9">
        <v>73</v>
      </c>
      <c r="C9">
        <v>21</v>
      </c>
      <c r="D9">
        <v>11</v>
      </c>
      <c r="E9">
        <v>25</v>
      </c>
      <c r="F9">
        <v>48</v>
      </c>
      <c r="G9">
        <v>26</v>
      </c>
      <c r="H9">
        <v>30</v>
      </c>
      <c r="K9">
        <v>35</v>
      </c>
      <c r="L9">
        <v>10</v>
      </c>
      <c r="M9">
        <v>37</v>
      </c>
      <c r="N9">
        <v>18</v>
      </c>
      <c r="O9">
        <v>56</v>
      </c>
      <c r="P9">
        <v>65</v>
      </c>
      <c r="Q9">
        <v>61</v>
      </c>
      <c r="R9">
        <v>81</v>
      </c>
      <c r="S9">
        <v>66</v>
      </c>
      <c r="T9">
        <v>8</v>
      </c>
      <c r="W9">
        <v>69</v>
      </c>
      <c r="X9">
        <v>21</v>
      </c>
      <c r="Y9">
        <v>70</v>
      </c>
      <c r="Z9">
        <v>14</v>
      </c>
      <c r="AA9">
        <v>71</v>
      </c>
      <c r="AB9">
        <v>15</v>
      </c>
      <c r="AC9">
        <v>76</v>
      </c>
      <c r="AD9">
        <v>13</v>
      </c>
      <c r="AE9">
        <v>77</v>
      </c>
      <c r="AF9">
        <v>28</v>
      </c>
    </row>
    <row r="10" spans="1:32">
      <c r="A10">
        <v>7</v>
      </c>
      <c r="B10">
        <v>72</v>
      </c>
      <c r="C10">
        <v>21</v>
      </c>
      <c r="D10">
        <v>15</v>
      </c>
      <c r="E10">
        <v>25</v>
      </c>
      <c r="F10">
        <v>69</v>
      </c>
      <c r="G10">
        <v>26</v>
      </c>
      <c r="H10">
        <v>30</v>
      </c>
      <c r="K10">
        <v>35</v>
      </c>
      <c r="L10">
        <v>7</v>
      </c>
      <c r="O10">
        <v>56</v>
      </c>
      <c r="P10">
        <v>36</v>
      </c>
      <c r="Q10">
        <v>61</v>
      </c>
      <c r="R10">
        <v>30</v>
      </c>
      <c r="S10">
        <v>66</v>
      </c>
      <c r="T10">
        <v>10</v>
      </c>
      <c r="W10">
        <v>69</v>
      </c>
      <c r="X10">
        <v>24</v>
      </c>
      <c r="Y10">
        <v>70</v>
      </c>
      <c r="Z10">
        <v>16</v>
      </c>
      <c r="AA10">
        <v>71</v>
      </c>
      <c r="AB10">
        <v>11</v>
      </c>
      <c r="AC10">
        <v>76</v>
      </c>
      <c r="AD10">
        <v>14</v>
      </c>
      <c r="AE10">
        <v>77</v>
      </c>
      <c r="AF10">
        <v>6</v>
      </c>
    </row>
    <row r="11" spans="1:32">
      <c r="A11">
        <v>7</v>
      </c>
      <c r="B11">
        <v>32</v>
      </c>
      <c r="C11">
        <v>21</v>
      </c>
      <c r="D11">
        <v>10</v>
      </c>
      <c r="E11">
        <v>25</v>
      </c>
      <c r="F11">
        <v>70</v>
      </c>
      <c r="G11">
        <v>26</v>
      </c>
      <c r="H11">
        <v>21</v>
      </c>
      <c r="K11">
        <v>35</v>
      </c>
      <c r="L11">
        <v>7</v>
      </c>
      <c r="O11">
        <v>56</v>
      </c>
      <c r="P11">
        <v>41</v>
      </c>
      <c r="Q11">
        <v>61</v>
      </c>
      <c r="R11">
        <v>45</v>
      </c>
      <c r="S11">
        <v>66</v>
      </c>
      <c r="T11">
        <v>11</v>
      </c>
      <c r="W11">
        <v>69</v>
      </c>
      <c r="X11">
        <v>9</v>
      </c>
      <c r="Y11">
        <v>70</v>
      </c>
      <c r="Z11">
        <v>15</v>
      </c>
      <c r="AA11">
        <v>71</v>
      </c>
      <c r="AB11">
        <v>7</v>
      </c>
      <c r="AC11">
        <v>76</v>
      </c>
      <c r="AD11">
        <v>10</v>
      </c>
      <c r="AE11">
        <v>77</v>
      </c>
      <c r="AF11">
        <v>6</v>
      </c>
    </row>
    <row r="12" spans="1:32">
      <c r="A12">
        <v>7</v>
      </c>
      <c r="B12">
        <v>33</v>
      </c>
      <c r="C12">
        <v>21</v>
      </c>
      <c r="D12">
        <v>12</v>
      </c>
      <c r="E12">
        <v>25</v>
      </c>
      <c r="F12">
        <v>25</v>
      </c>
      <c r="G12">
        <v>26</v>
      </c>
      <c r="H12">
        <v>27</v>
      </c>
      <c r="K12">
        <v>35</v>
      </c>
      <c r="L12">
        <v>5</v>
      </c>
      <c r="O12">
        <v>56</v>
      </c>
      <c r="P12">
        <v>39</v>
      </c>
      <c r="Q12">
        <v>61</v>
      </c>
      <c r="R12">
        <v>43</v>
      </c>
      <c r="S12">
        <v>66</v>
      </c>
      <c r="T12">
        <v>8</v>
      </c>
      <c r="W12">
        <v>69</v>
      </c>
      <c r="X12">
        <v>38</v>
      </c>
      <c r="Y12">
        <v>70</v>
      </c>
      <c r="Z12">
        <v>20</v>
      </c>
      <c r="AA12">
        <v>71</v>
      </c>
      <c r="AB12">
        <v>117</v>
      </c>
      <c r="AC12">
        <v>76</v>
      </c>
      <c r="AD12">
        <v>9</v>
      </c>
      <c r="AE12">
        <v>77</v>
      </c>
      <c r="AF12">
        <v>16</v>
      </c>
    </row>
    <row r="13" spans="1:32">
      <c r="A13">
        <v>7</v>
      </c>
      <c r="B13">
        <v>44</v>
      </c>
      <c r="C13">
        <v>21</v>
      </c>
      <c r="D13">
        <v>9</v>
      </c>
      <c r="E13">
        <v>25</v>
      </c>
      <c r="F13">
        <v>126</v>
      </c>
      <c r="G13">
        <v>26</v>
      </c>
      <c r="H13">
        <v>20</v>
      </c>
      <c r="K13">
        <v>35</v>
      </c>
      <c r="L13">
        <v>5</v>
      </c>
      <c r="O13">
        <v>56</v>
      </c>
      <c r="P13">
        <v>22</v>
      </c>
      <c r="Q13">
        <v>61</v>
      </c>
      <c r="R13">
        <v>28</v>
      </c>
      <c r="S13">
        <v>66</v>
      </c>
      <c r="T13">
        <v>12</v>
      </c>
      <c r="W13">
        <v>69</v>
      </c>
      <c r="X13">
        <v>25</v>
      </c>
      <c r="Y13">
        <v>70</v>
      </c>
      <c r="Z13">
        <v>7</v>
      </c>
      <c r="AA13">
        <v>71</v>
      </c>
      <c r="AB13">
        <v>29</v>
      </c>
      <c r="AC13">
        <v>76</v>
      </c>
      <c r="AD13">
        <v>8</v>
      </c>
      <c r="AE13">
        <v>77</v>
      </c>
      <c r="AF13">
        <v>22</v>
      </c>
    </row>
    <row r="14" spans="1:32">
      <c r="A14">
        <v>7</v>
      </c>
      <c r="B14">
        <v>16</v>
      </c>
      <c r="C14">
        <v>21</v>
      </c>
      <c r="D14">
        <v>16</v>
      </c>
      <c r="E14">
        <v>25</v>
      </c>
      <c r="F14">
        <v>15</v>
      </c>
      <c r="G14">
        <v>26</v>
      </c>
      <c r="H14">
        <v>23</v>
      </c>
      <c r="K14">
        <v>35</v>
      </c>
      <c r="L14">
        <v>5</v>
      </c>
      <c r="O14">
        <v>56</v>
      </c>
      <c r="P14">
        <v>76</v>
      </c>
      <c r="Q14">
        <v>61</v>
      </c>
      <c r="R14">
        <v>35</v>
      </c>
      <c r="S14">
        <v>66</v>
      </c>
      <c r="T14">
        <v>8</v>
      </c>
      <c r="W14">
        <v>69</v>
      </c>
      <c r="X14">
        <v>37</v>
      </c>
      <c r="Y14">
        <v>70</v>
      </c>
      <c r="Z14">
        <v>21</v>
      </c>
      <c r="AA14">
        <v>71</v>
      </c>
      <c r="AB14">
        <v>39</v>
      </c>
      <c r="AC14">
        <v>76</v>
      </c>
      <c r="AD14">
        <v>20</v>
      </c>
      <c r="AE14">
        <v>77</v>
      </c>
      <c r="AF14">
        <v>41</v>
      </c>
    </row>
    <row r="15" spans="1:32">
      <c r="A15">
        <v>7</v>
      </c>
      <c r="B15">
        <v>20</v>
      </c>
      <c r="C15">
        <v>21</v>
      </c>
      <c r="D15">
        <v>19</v>
      </c>
      <c r="E15">
        <v>25</v>
      </c>
      <c r="F15">
        <v>59</v>
      </c>
      <c r="G15">
        <v>26</v>
      </c>
      <c r="H15">
        <v>61</v>
      </c>
      <c r="K15">
        <v>35</v>
      </c>
      <c r="L15">
        <v>71</v>
      </c>
      <c r="O15">
        <v>56</v>
      </c>
      <c r="P15">
        <v>57</v>
      </c>
      <c r="Q15">
        <v>61</v>
      </c>
      <c r="R15">
        <v>37</v>
      </c>
      <c r="S15">
        <v>66</v>
      </c>
      <c r="T15">
        <v>8</v>
      </c>
      <c r="W15">
        <v>69</v>
      </c>
      <c r="X15">
        <v>45</v>
      </c>
      <c r="Y15">
        <v>70</v>
      </c>
      <c r="Z15">
        <v>12</v>
      </c>
      <c r="AA15">
        <v>71</v>
      </c>
      <c r="AB15">
        <v>26</v>
      </c>
      <c r="AC15">
        <v>76</v>
      </c>
      <c r="AD15">
        <v>16</v>
      </c>
      <c r="AE15">
        <v>77</v>
      </c>
      <c r="AF15">
        <v>12</v>
      </c>
    </row>
    <row r="16" spans="1:32">
      <c r="A16">
        <v>7</v>
      </c>
      <c r="B16">
        <v>15</v>
      </c>
      <c r="C16">
        <v>21</v>
      </c>
      <c r="D16">
        <v>9</v>
      </c>
      <c r="E16">
        <v>25</v>
      </c>
      <c r="F16">
        <v>28</v>
      </c>
      <c r="G16">
        <v>26</v>
      </c>
      <c r="H16">
        <v>14</v>
      </c>
      <c r="K16">
        <v>35</v>
      </c>
      <c r="L16">
        <v>11</v>
      </c>
      <c r="O16">
        <v>56</v>
      </c>
      <c r="P16">
        <v>51</v>
      </c>
      <c r="Q16">
        <v>61</v>
      </c>
      <c r="R16">
        <v>29</v>
      </c>
      <c r="S16">
        <v>66</v>
      </c>
      <c r="T16">
        <v>11</v>
      </c>
      <c r="W16">
        <v>69</v>
      </c>
      <c r="X16">
        <v>59</v>
      </c>
      <c r="Y16">
        <v>70</v>
      </c>
      <c r="Z16">
        <v>13</v>
      </c>
      <c r="AA16">
        <v>71</v>
      </c>
      <c r="AB16">
        <v>17</v>
      </c>
      <c r="AC16">
        <v>76</v>
      </c>
      <c r="AD16">
        <v>43</v>
      </c>
      <c r="AE16">
        <v>77</v>
      </c>
      <c r="AF16">
        <v>11</v>
      </c>
    </row>
    <row r="17" spans="1:32">
      <c r="A17">
        <v>7</v>
      </c>
      <c r="B17">
        <v>16</v>
      </c>
      <c r="C17">
        <v>21</v>
      </c>
      <c r="D17">
        <v>31</v>
      </c>
      <c r="E17">
        <v>25</v>
      </c>
      <c r="F17">
        <v>59</v>
      </c>
      <c r="G17">
        <v>26</v>
      </c>
      <c r="H17">
        <v>17</v>
      </c>
      <c r="K17">
        <v>35</v>
      </c>
      <c r="L17">
        <v>31</v>
      </c>
      <c r="O17">
        <v>56</v>
      </c>
      <c r="P17">
        <v>29</v>
      </c>
      <c r="Q17">
        <v>61</v>
      </c>
      <c r="R17">
        <v>19</v>
      </c>
      <c r="S17">
        <v>66</v>
      </c>
      <c r="T17">
        <v>6</v>
      </c>
      <c r="W17">
        <v>69</v>
      </c>
      <c r="X17">
        <v>50</v>
      </c>
      <c r="Y17">
        <v>70</v>
      </c>
      <c r="Z17">
        <v>18</v>
      </c>
      <c r="AA17">
        <v>71</v>
      </c>
      <c r="AB17">
        <v>24</v>
      </c>
      <c r="AC17">
        <v>76</v>
      </c>
      <c r="AD17">
        <v>21</v>
      </c>
      <c r="AE17">
        <v>77</v>
      </c>
      <c r="AF17">
        <v>9</v>
      </c>
    </row>
    <row r="18" spans="1:32">
      <c r="A18">
        <v>7</v>
      </c>
      <c r="B18">
        <v>14</v>
      </c>
      <c r="C18">
        <v>21</v>
      </c>
      <c r="D18">
        <v>17</v>
      </c>
      <c r="E18">
        <v>25</v>
      </c>
      <c r="F18">
        <v>88</v>
      </c>
      <c r="G18">
        <v>26</v>
      </c>
      <c r="H18">
        <v>54</v>
      </c>
      <c r="K18">
        <v>35</v>
      </c>
      <c r="L18">
        <v>7</v>
      </c>
      <c r="O18">
        <v>56</v>
      </c>
      <c r="P18">
        <v>47</v>
      </c>
      <c r="Q18">
        <v>61</v>
      </c>
      <c r="R18">
        <v>193</v>
      </c>
      <c r="S18">
        <v>66</v>
      </c>
      <c r="T18">
        <v>8</v>
      </c>
      <c r="W18">
        <v>69</v>
      </c>
      <c r="X18">
        <v>33</v>
      </c>
      <c r="Y18">
        <v>70</v>
      </c>
      <c r="Z18">
        <v>22</v>
      </c>
      <c r="AA18">
        <v>71</v>
      </c>
      <c r="AB18">
        <v>682</v>
      </c>
      <c r="AC18">
        <v>76</v>
      </c>
      <c r="AD18">
        <v>34</v>
      </c>
      <c r="AE18">
        <v>77</v>
      </c>
      <c r="AF18">
        <v>481</v>
      </c>
    </row>
    <row r="19" spans="1:32">
      <c r="A19">
        <v>7</v>
      </c>
      <c r="B19">
        <v>47</v>
      </c>
      <c r="C19">
        <v>21</v>
      </c>
      <c r="D19">
        <v>12</v>
      </c>
      <c r="E19">
        <v>25</v>
      </c>
      <c r="F19">
        <v>522</v>
      </c>
      <c r="G19">
        <v>26</v>
      </c>
      <c r="H19">
        <v>71</v>
      </c>
      <c r="K19">
        <v>35</v>
      </c>
      <c r="L19">
        <v>24</v>
      </c>
      <c r="O19">
        <v>56</v>
      </c>
      <c r="P19">
        <v>19</v>
      </c>
      <c r="S19">
        <v>66</v>
      </c>
      <c r="T19">
        <v>14</v>
      </c>
      <c r="W19">
        <v>69</v>
      </c>
      <c r="X19">
        <v>32</v>
      </c>
      <c r="Y19">
        <v>70</v>
      </c>
      <c r="Z19">
        <v>15</v>
      </c>
      <c r="AA19">
        <v>71</v>
      </c>
      <c r="AB19">
        <v>71</v>
      </c>
      <c r="AC19">
        <v>76</v>
      </c>
      <c r="AD19">
        <v>6</v>
      </c>
      <c r="AE19">
        <v>77</v>
      </c>
      <c r="AF19">
        <v>62</v>
      </c>
    </row>
    <row r="20" spans="1:32">
      <c r="A20">
        <v>7</v>
      </c>
      <c r="B20">
        <v>475</v>
      </c>
      <c r="C20">
        <v>21</v>
      </c>
      <c r="D20">
        <v>115</v>
      </c>
      <c r="G20">
        <v>26</v>
      </c>
      <c r="H20">
        <v>47</v>
      </c>
      <c r="K20">
        <v>35</v>
      </c>
      <c r="L20">
        <v>10</v>
      </c>
      <c r="O20">
        <v>56</v>
      </c>
      <c r="P20">
        <v>20</v>
      </c>
      <c r="S20">
        <v>66</v>
      </c>
      <c r="T20">
        <v>12</v>
      </c>
      <c r="W20">
        <v>69</v>
      </c>
      <c r="X20">
        <v>31</v>
      </c>
      <c r="Y20">
        <v>70</v>
      </c>
      <c r="Z20">
        <v>13</v>
      </c>
      <c r="AA20">
        <v>71</v>
      </c>
      <c r="AB20">
        <v>128</v>
      </c>
      <c r="AC20">
        <v>76</v>
      </c>
      <c r="AD20">
        <v>13</v>
      </c>
      <c r="AE20">
        <v>77</v>
      </c>
      <c r="AF20">
        <v>76</v>
      </c>
    </row>
    <row r="21" spans="1:32">
      <c r="A21">
        <v>7</v>
      </c>
      <c r="B21">
        <v>199</v>
      </c>
      <c r="C21">
        <v>21</v>
      </c>
      <c r="D21">
        <v>141</v>
      </c>
      <c r="G21">
        <v>26</v>
      </c>
      <c r="H21">
        <v>59</v>
      </c>
      <c r="K21">
        <v>35</v>
      </c>
      <c r="L21">
        <v>23</v>
      </c>
      <c r="O21">
        <v>56</v>
      </c>
      <c r="P21">
        <v>75</v>
      </c>
      <c r="S21">
        <v>66</v>
      </c>
      <c r="T21">
        <v>18</v>
      </c>
      <c r="Y21">
        <v>70</v>
      </c>
      <c r="Z21">
        <v>15</v>
      </c>
      <c r="AA21">
        <v>71</v>
      </c>
      <c r="AB21">
        <v>77</v>
      </c>
      <c r="AC21">
        <v>76</v>
      </c>
      <c r="AD21">
        <v>21</v>
      </c>
      <c r="AE21">
        <v>77</v>
      </c>
      <c r="AF21">
        <v>500</v>
      </c>
    </row>
    <row r="22" spans="1:32">
      <c r="A22">
        <v>7</v>
      </c>
      <c r="B22">
        <v>206</v>
      </c>
      <c r="C22">
        <v>21</v>
      </c>
      <c r="D22">
        <v>120</v>
      </c>
      <c r="G22">
        <v>26</v>
      </c>
      <c r="H22">
        <v>23</v>
      </c>
      <c r="K22">
        <v>35</v>
      </c>
      <c r="L22">
        <v>14</v>
      </c>
      <c r="O22">
        <v>56</v>
      </c>
      <c r="P22">
        <v>65</v>
      </c>
      <c r="S22">
        <v>66</v>
      </c>
      <c r="T22">
        <v>14</v>
      </c>
      <c r="Y22">
        <v>70</v>
      </c>
      <c r="Z22">
        <v>11</v>
      </c>
      <c r="AA22">
        <v>71</v>
      </c>
      <c r="AB22">
        <v>76</v>
      </c>
      <c r="AC22">
        <v>76</v>
      </c>
      <c r="AD22">
        <v>9</v>
      </c>
      <c r="AE22">
        <v>77</v>
      </c>
      <c r="AF22">
        <v>154</v>
      </c>
    </row>
    <row r="23" spans="1:32">
      <c r="A23">
        <v>7</v>
      </c>
      <c r="B23">
        <v>225</v>
      </c>
      <c r="C23">
        <v>21</v>
      </c>
      <c r="D23">
        <v>43</v>
      </c>
      <c r="G23">
        <v>26</v>
      </c>
      <c r="H23">
        <v>80</v>
      </c>
      <c r="K23">
        <v>35</v>
      </c>
      <c r="L23">
        <v>7</v>
      </c>
      <c r="O23">
        <v>56</v>
      </c>
      <c r="P23">
        <v>64</v>
      </c>
      <c r="S23">
        <v>66</v>
      </c>
      <c r="T23">
        <v>14</v>
      </c>
      <c r="Y23">
        <v>70</v>
      </c>
      <c r="Z23">
        <v>130</v>
      </c>
      <c r="AA23">
        <v>71</v>
      </c>
      <c r="AB23">
        <v>92</v>
      </c>
      <c r="AC23">
        <v>76</v>
      </c>
      <c r="AD23">
        <v>226</v>
      </c>
      <c r="AE23">
        <v>77</v>
      </c>
      <c r="AF23">
        <v>110</v>
      </c>
    </row>
    <row r="24" spans="1:32">
      <c r="A24">
        <v>7</v>
      </c>
      <c r="B24">
        <v>14</v>
      </c>
      <c r="C24">
        <v>21</v>
      </c>
      <c r="D24">
        <v>105</v>
      </c>
      <c r="G24">
        <v>26</v>
      </c>
      <c r="H24">
        <v>148</v>
      </c>
      <c r="K24">
        <v>35</v>
      </c>
      <c r="L24">
        <v>65</v>
      </c>
      <c r="O24">
        <v>56</v>
      </c>
      <c r="P24">
        <v>93</v>
      </c>
      <c r="S24">
        <v>66</v>
      </c>
      <c r="T24">
        <v>7</v>
      </c>
      <c r="Y24">
        <v>70</v>
      </c>
      <c r="Z24">
        <v>261</v>
      </c>
      <c r="AC24">
        <v>76</v>
      </c>
      <c r="AD24">
        <v>64</v>
      </c>
      <c r="AE24">
        <v>77</v>
      </c>
      <c r="AF24">
        <v>267</v>
      </c>
    </row>
    <row r="25" spans="1:32">
      <c r="A25">
        <v>7</v>
      </c>
      <c r="B25">
        <v>168</v>
      </c>
      <c r="C25">
        <v>21</v>
      </c>
      <c r="D25">
        <v>148</v>
      </c>
      <c r="G25">
        <v>26</v>
      </c>
      <c r="H25">
        <v>54</v>
      </c>
      <c r="K25">
        <v>35</v>
      </c>
      <c r="L25">
        <v>20</v>
      </c>
      <c r="O25">
        <v>56</v>
      </c>
      <c r="P25">
        <v>176</v>
      </c>
      <c r="S25">
        <v>66</v>
      </c>
      <c r="T25">
        <v>15</v>
      </c>
      <c r="Y25">
        <v>70</v>
      </c>
      <c r="Z25">
        <v>98</v>
      </c>
      <c r="AC25">
        <v>76</v>
      </c>
      <c r="AD25">
        <v>55</v>
      </c>
      <c r="AE25">
        <v>77</v>
      </c>
      <c r="AF25">
        <v>158</v>
      </c>
    </row>
    <row r="26" spans="1:32">
      <c r="A26">
        <v>7</v>
      </c>
      <c r="B26">
        <v>20</v>
      </c>
      <c r="G26">
        <v>26</v>
      </c>
      <c r="H26">
        <v>21</v>
      </c>
      <c r="K26">
        <v>35</v>
      </c>
      <c r="L26">
        <v>38</v>
      </c>
      <c r="O26">
        <v>56</v>
      </c>
      <c r="P26">
        <v>80</v>
      </c>
      <c r="S26">
        <v>66</v>
      </c>
      <c r="T26">
        <v>12</v>
      </c>
      <c r="Y26">
        <v>70</v>
      </c>
      <c r="Z26">
        <v>24</v>
      </c>
      <c r="AC26">
        <v>76</v>
      </c>
      <c r="AD26">
        <v>44</v>
      </c>
      <c r="AE26">
        <v>77</v>
      </c>
      <c r="AF26">
        <v>36</v>
      </c>
    </row>
    <row r="27" spans="1:32">
      <c r="A27">
        <v>7</v>
      </c>
      <c r="B27">
        <v>140</v>
      </c>
      <c r="G27">
        <v>26</v>
      </c>
      <c r="H27">
        <v>21</v>
      </c>
      <c r="K27">
        <v>35</v>
      </c>
      <c r="L27">
        <v>24</v>
      </c>
      <c r="O27">
        <v>56</v>
      </c>
      <c r="P27">
        <v>110</v>
      </c>
      <c r="S27">
        <v>66</v>
      </c>
      <c r="T27">
        <v>33</v>
      </c>
      <c r="Y27">
        <v>70</v>
      </c>
      <c r="Z27">
        <v>132</v>
      </c>
      <c r="AC27">
        <v>76</v>
      </c>
      <c r="AD27">
        <v>54</v>
      </c>
      <c r="AE27">
        <v>77</v>
      </c>
      <c r="AF27">
        <v>43</v>
      </c>
    </row>
    <row r="28" spans="1:32">
      <c r="A28">
        <v>7</v>
      </c>
      <c r="B28">
        <v>42</v>
      </c>
      <c r="G28">
        <v>26</v>
      </c>
      <c r="H28">
        <v>53</v>
      </c>
      <c r="K28">
        <v>35</v>
      </c>
      <c r="L28">
        <v>17</v>
      </c>
      <c r="S28">
        <v>66</v>
      </c>
      <c r="T28">
        <v>13</v>
      </c>
      <c r="Y28">
        <v>70</v>
      </c>
      <c r="Z28">
        <v>67</v>
      </c>
      <c r="AC28">
        <v>76</v>
      </c>
      <c r="AD28">
        <v>131</v>
      </c>
      <c r="AE28">
        <v>77</v>
      </c>
      <c r="AF28">
        <v>38</v>
      </c>
    </row>
    <row r="29" spans="1:32">
      <c r="A29">
        <v>7</v>
      </c>
      <c r="B29">
        <v>49</v>
      </c>
      <c r="G29">
        <v>26</v>
      </c>
      <c r="H29">
        <v>141</v>
      </c>
      <c r="K29">
        <v>35</v>
      </c>
      <c r="L29">
        <v>22</v>
      </c>
      <c r="S29">
        <v>66</v>
      </c>
      <c r="T29">
        <v>22</v>
      </c>
      <c r="AC29">
        <v>76</v>
      </c>
      <c r="AD29">
        <v>64</v>
      </c>
      <c r="AE29">
        <v>77</v>
      </c>
      <c r="AF29">
        <v>25</v>
      </c>
    </row>
    <row r="30" spans="1:32">
      <c r="A30">
        <v>7</v>
      </c>
      <c r="B30">
        <v>221</v>
      </c>
      <c r="G30">
        <v>26</v>
      </c>
      <c r="H30">
        <v>43</v>
      </c>
      <c r="S30">
        <v>66</v>
      </c>
      <c r="T30">
        <v>57</v>
      </c>
      <c r="AE30">
        <v>77</v>
      </c>
      <c r="AF30">
        <v>40</v>
      </c>
    </row>
    <row r="31" spans="1:32">
      <c r="A31">
        <v>7</v>
      </c>
      <c r="B31">
        <v>320</v>
      </c>
      <c r="G31">
        <v>26</v>
      </c>
      <c r="H31">
        <v>40</v>
      </c>
      <c r="S31">
        <v>66</v>
      </c>
      <c r="T31">
        <v>35</v>
      </c>
      <c r="AE31">
        <v>77</v>
      </c>
      <c r="AF31">
        <v>63</v>
      </c>
    </row>
    <row r="32" spans="1:32">
      <c r="A32">
        <v>7</v>
      </c>
      <c r="B32">
        <v>1583</v>
      </c>
      <c r="G32">
        <v>26</v>
      </c>
      <c r="H32">
        <v>69</v>
      </c>
      <c r="AE32">
        <v>77</v>
      </c>
      <c r="AF32">
        <v>152</v>
      </c>
    </row>
    <row r="33" spans="1:8">
      <c r="A33">
        <v>7</v>
      </c>
      <c r="B33">
        <v>184</v>
      </c>
      <c r="G33">
        <v>26</v>
      </c>
      <c r="H33">
        <v>35</v>
      </c>
    </row>
    <row r="34" spans="1:8">
      <c r="A34">
        <v>7</v>
      </c>
      <c r="B34">
        <v>43</v>
      </c>
      <c r="G34">
        <v>26</v>
      </c>
      <c r="H34">
        <v>23</v>
      </c>
    </row>
    <row r="35" spans="1:8">
      <c r="A35">
        <v>7</v>
      </c>
      <c r="B35">
        <v>156</v>
      </c>
      <c r="G35">
        <v>26</v>
      </c>
      <c r="H35">
        <v>178</v>
      </c>
    </row>
    <row r="36" spans="1:8">
      <c r="A36">
        <v>7</v>
      </c>
      <c r="B36">
        <v>121</v>
      </c>
      <c r="G36">
        <v>26</v>
      </c>
      <c r="H36">
        <v>74</v>
      </c>
    </row>
    <row r="37" spans="1:8">
      <c r="A37">
        <v>7</v>
      </c>
      <c r="B37">
        <v>39</v>
      </c>
      <c r="G37">
        <v>26</v>
      </c>
      <c r="H37">
        <v>94</v>
      </c>
    </row>
    <row r="38" spans="1:8">
      <c r="A38">
        <v>7</v>
      </c>
      <c r="B38">
        <v>80</v>
      </c>
      <c r="G38">
        <v>26</v>
      </c>
      <c r="H38">
        <v>101</v>
      </c>
    </row>
    <row r="39" spans="1:8">
      <c r="A39">
        <v>7</v>
      </c>
      <c r="B39">
        <v>107</v>
      </c>
      <c r="G39">
        <v>26</v>
      </c>
      <c r="H39">
        <v>87</v>
      </c>
    </row>
    <row r="40" spans="1:8">
      <c r="A40">
        <v>7</v>
      </c>
      <c r="B40">
        <v>230</v>
      </c>
      <c r="G40">
        <v>26</v>
      </c>
      <c r="H40">
        <v>102</v>
      </c>
    </row>
    <row r="41" spans="1:8">
      <c r="A41">
        <v>7</v>
      </c>
      <c r="B41">
        <v>16</v>
      </c>
      <c r="G41">
        <v>26</v>
      </c>
      <c r="H41">
        <v>33</v>
      </c>
    </row>
    <row r="42" spans="1:8">
      <c r="A42">
        <v>7</v>
      </c>
      <c r="B42">
        <v>790</v>
      </c>
      <c r="G42">
        <v>26</v>
      </c>
      <c r="H42">
        <v>24</v>
      </c>
    </row>
    <row r="43" spans="1:8">
      <c r="G43">
        <v>26</v>
      </c>
      <c r="H43">
        <v>58</v>
      </c>
    </row>
    <row r="44" spans="1:8">
      <c r="G44">
        <v>26</v>
      </c>
      <c r="H44">
        <v>34</v>
      </c>
    </row>
    <row r="45" spans="1:8">
      <c r="G45">
        <v>26</v>
      </c>
      <c r="H45">
        <v>20</v>
      </c>
    </row>
    <row r="46" spans="1:8">
      <c r="G46">
        <v>26</v>
      </c>
      <c r="H46">
        <v>40</v>
      </c>
    </row>
    <row r="47" spans="1:8">
      <c r="A47" t="s">
        <v>277</v>
      </c>
    </row>
    <row r="48" spans="1:8">
      <c r="A48">
        <f>AVERAGE(B1,D1,F1,H1,J1,L1,N1,P1,R1,T1,V1,X1,Z1,AB1,AD1,AF1)</f>
        <v>175.75</v>
      </c>
      <c r="C48">
        <f>AVERAGE(A48:A69)</f>
        <v>60.009971846335475</v>
      </c>
    </row>
    <row r="49" spans="1:5">
      <c r="A49">
        <f t="shared" ref="A49:A89" si="0">AVERAGE(B2,D2,F2,H2,J2,L2,N2,P2,R2,T2,V2,X2,Z2,AB2,AD2,AF2)</f>
        <v>87.4</v>
      </c>
    </row>
    <row r="50" spans="1:5">
      <c r="A50">
        <f t="shared" si="0"/>
        <v>75.333333333333329</v>
      </c>
    </row>
    <row r="51" spans="1:5">
      <c r="A51">
        <f>AVERAGE(B4,D4,F4,H4,J4,L4,N4,P4,R4,T4,V4,X4,Z4,AB4,AD4,AF4)</f>
        <v>55.6</v>
      </c>
    </row>
    <row r="52" spans="1:5">
      <c r="A52">
        <f t="shared" si="0"/>
        <v>69.933333333333337</v>
      </c>
    </row>
    <row r="53" spans="1:5">
      <c r="A53">
        <f t="shared" si="0"/>
        <v>41.714285714285715</v>
      </c>
    </row>
    <row r="54" spans="1:5">
      <c r="A54">
        <f t="shared" si="0"/>
        <v>58.428571428571431</v>
      </c>
    </row>
    <row r="55" spans="1:5">
      <c r="A55">
        <f t="shared" si="0"/>
        <v>37.642857142857146</v>
      </c>
      <c r="C55" t="s">
        <v>328</v>
      </c>
      <c r="D55" t="s">
        <v>329</v>
      </c>
      <c r="E55" t="s">
        <v>330</v>
      </c>
    </row>
    <row r="56" spans="1:5">
      <c r="A56">
        <f t="shared" si="0"/>
        <v>31.071428571428573</v>
      </c>
      <c r="B56" t="s">
        <v>309</v>
      </c>
      <c r="C56">
        <v>60.009971849999999</v>
      </c>
      <c r="D56">
        <v>59.948017489999998</v>
      </c>
      <c r="E56">
        <v>85.396354169999995</v>
      </c>
    </row>
    <row r="57" spans="1:5">
      <c r="A57">
        <f t="shared" si="0"/>
        <v>26.153846153846153</v>
      </c>
      <c r="B57" t="s">
        <v>279</v>
      </c>
      <c r="C57">
        <v>51.486662189999997</v>
      </c>
      <c r="D57">
        <v>35.703020520000003</v>
      </c>
      <c r="E57">
        <v>79.384181369999993</v>
      </c>
    </row>
    <row r="58" spans="1:5">
      <c r="A58">
        <f t="shared" si="0"/>
        <v>21.846153846153847</v>
      </c>
    </row>
    <row r="59" spans="1:5">
      <c r="A59">
        <f t="shared" si="0"/>
        <v>30.153846153846153</v>
      </c>
    </row>
    <row r="60" spans="1:5">
      <c r="A60">
        <f t="shared" si="0"/>
        <v>27.46153846153846</v>
      </c>
    </row>
    <row r="61" spans="1:5">
      <c r="A61">
        <f t="shared" si="0"/>
        <v>27.076923076923077</v>
      </c>
    </row>
    <row r="62" spans="1:5">
      <c r="A62">
        <f t="shared" si="0"/>
        <v>34.07692307692308</v>
      </c>
    </row>
    <row r="63" spans="1:5">
      <c r="A63">
        <f t="shared" si="0"/>
        <v>23.923076923076923</v>
      </c>
    </row>
    <row r="64" spans="1:5">
      <c r="A64">
        <f t="shared" si="0"/>
        <v>25.384615384615383</v>
      </c>
    </row>
    <row r="65" spans="1:1">
      <c r="A65">
        <f t="shared" si="0"/>
        <v>129.23076923076923</v>
      </c>
    </row>
    <row r="66" spans="1:1">
      <c r="A66">
        <f t="shared" si="0"/>
        <v>74.583333333333329</v>
      </c>
    </row>
    <row r="67" spans="1:1">
      <c r="A67">
        <f t="shared" si="0"/>
        <v>85.454545454545453</v>
      </c>
    </row>
    <row r="68" spans="1:1">
      <c r="A68">
        <f t="shared" si="0"/>
        <v>112.8</v>
      </c>
    </row>
    <row r="69" spans="1:1">
      <c r="A69">
        <f t="shared" si="0"/>
        <v>69.2</v>
      </c>
    </row>
    <row r="70" spans="1:1">
      <c r="A70">
        <f t="shared" si="0"/>
        <v>99.1</v>
      </c>
    </row>
    <row r="71" spans="1:1">
      <c r="A71">
        <f t="shared" si="0"/>
        <v>113.77777777777777</v>
      </c>
    </row>
    <row r="72" spans="1:1">
      <c r="A72">
        <f t="shared" si="0"/>
        <v>99.111111111111114</v>
      </c>
    </row>
    <row r="73" spans="1:1">
      <c r="A73">
        <f t="shared" si="0"/>
        <v>34.375</v>
      </c>
    </row>
    <row r="74" spans="1:1">
      <c r="A74">
        <f t="shared" si="0"/>
        <v>69.625</v>
      </c>
    </row>
    <row r="75" spans="1:1">
      <c r="A75">
        <f t="shared" si="0"/>
        <v>51.571428571428569</v>
      </c>
    </row>
    <row r="76" spans="1:1">
      <c r="A76">
        <f t="shared" si="0"/>
        <v>53.833333333333336</v>
      </c>
    </row>
    <row r="77" spans="1:1">
      <c r="A77">
        <f t="shared" si="0"/>
        <v>90.25</v>
      </c>
    </row>
    <row r="78" spans="1:1">
      <c r="A78">
        <f t="shared" si="0"/>
        <v>114.5</v>
      </c>
    </row>
    <row r="79" spans="1:1">
      <c r="A79">
        <f>AVERAGE(B32,D32,F32,H32,J32,L32,N32,P32,R32,T32,V32,X32,Z32,AB32,AD32,AF32)</f>
        <v>601.33333333333337</v>
      </c>
    </row>
    <row r="80" spans="1:1">
      <c r="A80">
        <f t="shared" si="0"/>
        <v>109.5</v>
      </c>
    </row>
    <row r="81" spans="1:1">
      <c r="A81">
        <f t="shared" si="0"/>
        <v>33</v>
      </c>
    </row>
    <row r="82" spans="1:1">
      <c r="A82">
        <f>AVERAGE(B35,D35,F35,H35,J35,L35,N35,P35,R35,T35,V35,X35,Z35,AB35,AD35,AF35)</f>
        <v>167</v>
      </c>
    </row>
    <row r="83" spans="1:1">
      <c r="A83">
        <f t="shared" si="0"/>
        <v>97.5</v>
      </c>
    </row>
    <row r="84" spans="1:1">
      <c r="A84">
        <f t="shared" si="0"/>
        <v>66.5</v>
      </c>
    </row>
    <row r="85" spans="1:1">
      <c r="A85">
        <f t="shared" si="0"/>
        <v>90.5</v>
      </c>
    </row>
    <row r="86" spans="1:1">
      <c r="A86">
        <f t="shared" si="0"/>
        <v>97</v>
      </c>
    </row>
    <row r="87" spans="1:1">
      <c r="A87">
        <f t="shared" si="0"/>
        <v>166</v>
      </c>
    </row>
    <row r="88" spans="1:1">
      <c r="A88">
        <f t="shared" si="0"/>
        <v>24.5</v>
      </c>
    </row>
    <row r="89" spans="1:1">
      <c r="A89">
        <f t="shared" si="0"/>
        <v>407</v>
      </c>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73"/>
  <sheetViews>
    <sheetView topLeftCell="B46" workbookViewId="0">
      <selection activeCell="B55" sqref="B55"/>
    </sheetView>
  </sheetViews>
  <sheetFormatPr baseColWidth="10" defaultColWidth="11" defaultRowHeight="15" x14ac:dyDescent="0"/>
  <sheetData>
    <row r="1" spans="1:59">
      <c r="A1">
        <v>1</v>
      </c>
      <c r="B1">
        <v>61</v>
      </c>
      <c r="C1">
        <v>12</v>
      </c>
      <c r="D1">
        <v>12</v>
      </c>
      <c r="E1">
        <v>11</v>
      </c>
      <c r="F1">
        <v>8</v>
      </c>
      <c r="G1">
        <v>19</v>
      </c>
      <c r="H1">
        <v>61</v>
      </c>
      <c r="I1">
        <v>41</v>
      </c>
      <c r="J1">
        <v>107</v>
      </c>
      <c r="K1">
        <v>29</v>
      </c>
      <c r="L1">
        <v>8</v>
      </c>
      <c r="M1">
        <v>11</v>
      </c>
    </row>
    <row r="2" spans="1:59">
      <c r="A2">
        <v>4</v>
      </c>
      <c r="B2">
        <v>53</v>
      </c>
      <c r="C2">
        <v>17</v>
      </c>
      <c r="D2">
        <v>17</v>
      </c>
      <c r="E2">
        <v>33</v>
      </c>
      <c r="F2">
        <v>106</v>
      </c>
      <c r="G2">
        <v>73</v>
      </c>
      <c r="H2">
        <v>67</v>
      </c>
      <c r="I2">
        <v>7</v>
      </c>
      <c r="J2">
        <v>15</v>
      </c>
      <c r="K2">
        <v>11</v>
      </c>
      <c r="L2">
        <v>15</v>
      </c>
      <c r="M2">
        <v>26</v>
      </c>
      <c r="N2">
        <v>12</v>
      </c>
      <c r="O2">
        <v>8</v>
      </c>
      <c r="P2">
        <v>41</v>
      </c>
      <c r="Q2">
        <v>6</v>
      </c>
      <c r="R2">
        <v>6</v>
      </c>
      <c r="S2">
        <v>16</v>
      </c>
      <c r="T2">
        <v>12</v>
      </c>
      <c r="U2">
        <v>7</v>
      </c>
      <c r="V2">
        <v>42</v>
      </c>
      <c r="W2">
        <v>9</v>
      </c>
      <c r="X2">
        <v>19</v>
      </c>
      <c r="Y2">
        <v>9</v>
      </c>
      <c r="Z2">
        <v>16</v>
      </c>
      <c r="AA2">
        <v>8</v>
      </c>
      <c r="AB2">
        <v>24</v>
      </c>
      <c r="AC2">
        <v>8</v>
      </c>
      <c r="AD2">
        <v>9</v>
      </c>
      <c r="AE2">
        <v>291</v>
      </c>
      <c r="AF2">
        <v>66</v>
      </c>
      <c r="AG2">
        <v>14</v>
      </c>
      <c r="AH2">
        <v>32</v>
      </c>
      <c r="AI2">
        <v>92</v>
      </c>
      <c r="AJ2">
        <v>39</v>
      </c>
      <c r="AK2">
        <v>51</v>
      </c>
      <c r="AL2">
        <v>62</v>
      </c>
    </row>
    <row r="3" spans="1:59">
      <c r="A3">
        <v>5</v>
      </c>
      <c r="B3">
        <v>61</v>
      </c>
      <c r="C3">
        <v>61</v>
      </c>
      <c r="D3">
        <v>61</v>
      </c>
      <c r="E3">
        <v>61</v>
      </c>
      <c r="F3">
        <v>61</v>
      </c>
      <c r="G3">
        <v>61</v>
      </c>
      <c r="H3">
        <v>61</v>
      </c>
      <c r="I3">
        <v>61</v>
      </c>
      <c r="J3">
        <v>61</v>
      </c>
      <c r="K3">
        <v>61</v>
      </c>
      <c r="L3">
        <v>61</v>
      </c>
      <c r="M3">
        <v>61</v>
      </c>
      <c r="N3">
        <v>61</v>
      </c>
      <c r="O3">
        <v>61</v>
      </c>
      <c r="P3">
        <v>61</v>
      </c>
      <c r="Q3">
        <v>61</v>
      </c>
      <c r="R3">
        <v>61</v>
      </c>
    </row>
    <row r="4" spans="1:59">
      <c r="A4">
        <v>6</v>
      </c>
      <c r="B4">
        <v>61</v>
      </c>
      <c r="C4">
        <v>61</v>
      </c>
      <c r="D4">
        <v>61</v>
      </c>
      <c r="E4">
        <v>61</v>
      </c>
      <c r="F4">
        <v>61</v>
      </c>
      <c r="G4">
        <v>61</v>
      </c>
      <c r="H4">
        <v>61</v>
      </c>
      <c r="I4">
        <v>61</v>
      </c>
      <c r="J4">
        <v>61</v>
      </c>
      <c r="K4">
        <v>61</v>
      </c>
      <c r="L4">
        <v>61</v>
      </c>
      <c r="M4">
        <v>61</v>
      </c>
      <c r="N4">
        <v>61</v>
      </c>
      <c r="O4">
        <v>61</v>
      </c>
      <c r="P4">
        <v>61</v>
      </c>
      <c r="Q4">
        <v>61</v>
      </c>
      <c r="R4">
        <v>61</v>
      </c>
      <c r="S4">
        <v>61</v>
      </c>
      <c r="T4">
        <v>61</v>
      </c>
      <c r="U4">
        <v>61</v>
      </c>
      <c r="V4">
        <v>61</v>
      </c>
      <c r="W4">
        <v>61</v>
      </c>
      <c r="X4">
        <v>61</v>
      </c>
      <c r="Y4">
        <v>61</v>
      </c>
      <c r="Z4">
        <v>61</v>
      </c>
      <c r="AA4">
        <v>61</v>
      </c>
      <c r="AB4">
        <v>61</v>
      </c>
      <c r="AC4">
        <v>61</v>
      </c>
      <c r="AD4">
        <v>61</v>
      </c>
      <c r="AE4">
        <v>61</v>
      </c>
      <c r="AF4">
        <v>61</v>
      </c>
      <c r="AG4">
        <v>61</v>
      </c>
      <c r="AH4">
        <v>61</v>
      </c>
      <c r="AI4">
        <v>61</v>
      </c>
      <c r="AJ4">
        <v>61</v>
      </c>
      <c r="AK4">
        <v>61</v>
      </c>
      <c r="AL4">
        <v>61</v>
      </c>
      <c r="AM4">
        <v>61</v>
      </c>
      <c r="AN4">
        <v>61</v>
      </c>
      <c r="AO4">
        <v>61</v>
      </c>
      <c r="AP4">
        <v>61</v>
      </c>
      <c r="AQ4">
        <v>61</v>
      </c>
      <c r="AR4">
        <v>61</v>
      </c>
      <c r="AS4">
        <v>61</v>
      </c>
      <c r="AT4">
        <v>61</v>
      </c>
      <c r="AU4">
        <v>61</v>
      </c>
      <c r="AV4">
        <v>61</v>
      </c>
    </row>
    <row r="5" spans="1:59">
      <c r="A5">
        <v>8</v>
      </c>
      <c r="B5">
        <v>69</v>
      </c>
      <c r="C5">
        <v>34</v>
      </c>
      <c r="D5">
        <v>83</v>
      </c>
      <c r="E5">
        <v>87</v>
      </c>
      <c r="F5">
        <v>13</v>
      </c>
      <c r="G5">
        <v>28</v>
      </c>
      <c r="H5">
        <v>28</v>
      </c>
      <c r="I5">
        <v>17</v>
      </c>
      <c r="J5">
        <v>47</v>
      </c>
      <c r="K5">
        <v>24</v>
      </c>
      <c r="L5">
        <v>19</v>
      </c>
      <c r="M5">
        <v>12</v>
      </c>
      <c r="N5">
        <v>24</v>
      </c>
      <c r="O5">
        <v>11</v>
      </c>
      <c r="P5">
        <v>11</v>
      </c>
      <c r="Q5">
        <v>45</v>
      </c>
      <c r="R5">
        <v>33</v>
      </c>
      <c r="S5">
        <v>13</v>
      </c>
      <c r="T5">
        <v>19</v>
      </c>
      <c r="U5">
        <v>13</v>
      </c>
      <c r="V5">
        <v>6</v>
      </c>
      <c r="W5">
        <v>244</v>
      </c>
      <c r="X5">
        <v>93</v>
      </c>
      <c r="Y5">
        <v>203</v>
      </c>
      <c r="Z5">
        <v>48</v>
      </c>
      <c r="AA5">
        <v>87</v>
      </c>
    </row>
    <row r="6" spans="1:59">
      <c r="A6">
        <v>11</v>
      </c>
      <c r="B6">
        <v>61</v>
      </c>
      <c r="C6">
        <v>61</v>
      </c>
      <c r="D6">
        <v>61</v>
      </c>
      <c r="E6">
        <v>61</v>
      </c>
      <c r="F6">
        <v>61</v>
      </c>
      <c r="G6">
        <v>61</v>
      </c>
      <c r="H6">
        <v>61</v>
      </c>
      <c r="I6">
        <v>61</v>
      </c>
      <c r="J6">
        <v>61</v>
      </c>
      <c r="K6">
        <v>61</v>
      </c>
      <c r="L6">
        <v>61</v>
      </c>
      <c r="M6">
        <v>61</v>
      </c>
      <c r="N6">
        <v>61</v>
      </c>
      <c r="O6">
        <v>61</v>
      </c>
      <c r="P6">
        <v>61</v>
      </c>
      <c r="Q6">
        <v>61</v>
      </c>
      <c r="R6">
        <v>61</v>
      </c>
      <c r="S6">
        <v>61</v>
      </c>
      <c r="T6">
        <v>61</v>
      </c>
      <c r="U6">
        <v>61</v>
      </c>
      <c r="V6">
        <v>61</v>
      </c>
      <c r="W6">
        <v>61</v>
      </c>
      <c r="X6">
        <v>61</v>
      </c>
      <c r="Y6">
        <v>61</v>
      </c>
      <c r="Z6">
        <v>61</v>
      </c>
      <c r="AA6">
        <v>61</v>
      </c>
      <c r="AB6">
        <v>61</v>
      </c>
      <c r="AC6">
        <v>61</v>
      </c>
      <c r="AD6">
        <v>61</v>
      </c>
      <c r="AE6">
        <v>61</v>
      </c>
    </row>
    <row r="7" spans="1:59">
      <c r="A7">
        <v>12</v>
      </c>
      <c r="B7">
        <v>61</v>
      </c>
      <c r="C7">
        <v>61</v>
      </c>
      <c r="D7">
        <v>61</v>
      </c>
      <c r="E7">
        <v>61</v>
      </c>
      <c r="F7">
        <v>61</v>
      </c>
      <c r="G7">
        <v>61</v>
      </c>
      <c r="H7">
        <v>61</v>
      </c>
      <c r="I7">
        <v>61</v>
      </c>
      <c r="J7">
        <v>61</v>
      </c>
      <c r="K7">
        <v>61</v>
      </c>
      <c r="L7">
        <v>61</v>
      </c>
      <c r="M7">
        <v>61</v>
      </c>
      <c r="N7">
        <v>61</v>
      </c>
      <c r="O7">
        <v>61</v>
      </c>
      <c r="P7">
        <v>61</v>
      </c>
      <c r="Q7">
        <v>61</v>
      </c>
      <c r="R7">
        <v>61</v>
      </c>
      <c r="S7">
        <v>61</v>
      </c>
      <c r="T7">
        <v>61</v>
      </c>
      <c r="U7">
        <v>61</v>
      </c>
      <c r="V7">
        <v>61</v>
      </c>
      <c r="W7">
        <v>61</v>
      </c>
      <c r="X7">
        <v>61</v>
      </c>
      <c r="Y7">
        <v>61</v>
      </c>
      <c r="Z7">
        <v>65</v>
      </c>
      <c r="AA7">
        <v>16</v>
      </c>
      <c r="AB7">
        <v>25</v>
      </c>
      <c r="AC7">
        <v>25</v>
      </c>
      <c r="AD7">
        <v>7</v>
      </c>
      <c r="AE7">
        <v>39</v>
      </c>
      <c r="AF7">
        <v>16</v>
      </c>
      <c r="AG7">
        <v>19</v>
      </c>
      <c r="AH7">
        <v>17</v>
      </c>
      <c r="AI7">
        <v>142</v>
      </c>
      <c r="AJ7">
        <v>69</v>
      </c>
      <c r="AK7">
        <v>77</v>
      </c>
      <c r="AL7">
        <v>582</v>
      </c>
      <c r="AM7">
        <v>70</v>
      </c>
      <c r="AN7">
        <v>53</v>
      </c>
    </row>
    <row r="8" spans="1:59">
      <c r="A8">
        <v>13</v>
      </c>
      <c r="B8">
        <v>61</v>
      </c>
      <c r="C8">
        <v>61</v>
      </c>
      <c r="D8">
        <v>61</v>
      </c>
      <c r="E8">
        <v>61</v>
      </c>
      <c r="F8">
        <v>61</v>
      </c>
      <c r="G8">
        <v>61</v>
      </c>
      <c r="H8">
        <v>61</v>
      </c>
      <c r="I8">
        <v>61</v>
      </c>
      <c r="J8">
        <v>61</v>
      </c>
      <c r="K8">
        <v>61</v>
      </c>
      <c r="L8">
        <v>61</v>
      </c>
      <c r="M8">
        <v>61</v>
      </c>
      <c r="N8">
        <v>61</v>
      </c>
      <c r="O8">
        <v>61</v>
      </c>
      <c r="P8">
        <v>61</v>
      </c>
      <c r="Q8">
        <v>61</v>
      </c>
      <c r="R8">
        <v>61</v>
      </c>
      <c r="S8">
        <v>61</v>
      </c>
      <c r="T8">
        <v>61</v>
      </c>
      <c r="U8">
        <v>61</v>
      </c>
      <c r="V8">
        <v>61</v>
      </c>
      <c r="W8">
        <v>61</v>
      </c>
      <c r="X8">
        <v>61</v>
      </c>
      <c r="Y8">
        <v>61</v>
      </c>
      <c r="Z8">
        <v>61</v>
      </c>
      <c r="AA8">
        <v>61</v>
      </c>
      <c r="AB8">
        <v>61</v>
      </c>
      <c r="AC8">
        <v>61</v>
      </c>
      <c r="AD8">
        <v>61</v>
      </c>
    </row>
    <row r="9" spans="1:59">
      <c r="A9">
        <v>14</v>
      </c>
      <c r="B9">
        <v>15</v>
      </c>
      <c r="C9">
        <v>27</v>
      </c>
      <c r="D9">
        <v>21</v>
      </c>
      <c r="E9">
        <v>21</v>
      </c>
      <c r="F9">
        <v>65</v>
      </c>
      <c r="G9">
        <v>20</v>
      </c>
      <c r="H9">
        <v>24</v>
      </c>
      <c r="I9">
        <v>59</v>
      </c>
      <c r="J9">
        <v>71</v>
      </c>
      <c r="K9">
        <v>183</v>
      </c>
      <c r="L9">
        <v>65</v>
      </c>
      <c r="M9">
        <v>42</v>
      </c>
      <c r="N9">
        <v>31</v>
      </c>
      <c r="O9">
        <v>92</v>
      </c>
      <c r="P9">
        <v>70</v>
      </c>
      <c r="Q9">
        <v>19</v>
      </c>
      <c r="R9">
        <v>16</v>
      </c>
      <c r="S9">
        <v>37</v>
      </c>
      <c r="T9">
        <v>37</v>
      </c>
      <c r="U9">
        <v>47</v>
      </c>
      <c r="V9">
        <v>36</v>
      </c>
      <c r="W9">
        <v>14</v>
      </c>
      <c r="X9">
        <v>51</v>
      </c>
      <c r="Y9">
        <v>20</v>
      </c>
      <c r="Z9">
        <v>16</v>
      </c>
      <c r="AA9">
        <v>11</v>
      </c>
      <c r="AB9">
        <v>7</v>
      </c>
      <c r="AC9">
        <v>10</v>
      </c>
      <c r="AD9">
        <v>13</v>
      </c>
      <c r="AE9">
        <v>6</v>
      </c>
      <c r="AF9">
        <v>5</v>
      </c>
      <c r="AG9">
        <v>18</v>
      </c>
      <c r="AH9">
        <v>26</v>
      </c>
      <c r="AI9">
        <v>62</v>
      </c>
      <c r="AJ9">
        <v>115</v>
      </c>
      <c r="AK9">
        <v>59</v>
      </c>
      <c r="AL9">
        <v>266</v>
      </c>
      <c r="AM9">
        <v>154</v>
      </c>
      <c r="AN9">
        <v>7</v>
      </c>
      <c r="AO9">
        <v>11</v>
      </c>
      <c r="AP9">
        <v>38</v>
      </c>
      <c r="AQ9">
        <v>3</v>
      </c>
      <c r="AR9">
        <v>17</v>
      </c>
      <c r="AS9">
        <v>6</v>
      </c>
      <c r="AT9">
        <v>15</v>
      </c>
      <c r="AU9">
        <v>9</v>
      </c>
      <c r="AV9">
        <v>1090</v>
      </c>
      <c r="AW9">
        <v>155</v>
      </c>
      <c r="AX9">
        <v>353</v>
      </c>
      <c r="AY9">
        <v>1809</v>
      </c>
      <c r="AZ9">
        <v>211</v>
      </c>
      <c r="BA9">
        <v>147</v>
      </c>
      <c r="BB9">
        <v>245</v>
      </c>
      <c r="BC9">
        <v>26</v>
      </c>
      <c r="BD9">
        <v>48</v>
      </c>
      <c r="BE9">
        <v>48</v>
      </c>
      <c r="BF9">
        <v>35</v>
      </c>
      <c r="BG9">
        <v>48</v>
      </c>
    </row>
    <row r="10" spans="1:59">
      <c r="A10">
        <v>15</v>
      </c>
      <c r="B10">
        <v>61</v>
      </c>
      <c r="C10">
        <v>61</v>
      </c>
      <c r="D10">
        <v>61</v>
      </c>
      <c r="E10">
        <v>61</v>
      </c>
      <c r="F10">
        <v>61</v>
      </c>
      <c r="G10">
        <v>61</v>
      </c>
      <c r="H10">
        <v>61</v>
      </c>
      <c r="I10">
        <v>61</v>
      </c>
      <c r="J10">
        <v>61</v>
      </c>
      <c r="K10">
        <v>61</v>
      </c>
      <c r="L10">
        <v>61</v>
      </c>
      <c r="M10">
        <v>61</v>
      </c>
      <c r="N10">
        <v>61</v>
      </c>
      <c r="O10">
        <v>61</v>
      </c>
      <c r="P10">
        <v>61</v>
      </c>
      <c r="Q10">
        <v>61</v>
      </c>
      <c r="R10">
        <v>61</v>
      </c>
      <c r="S10">
        <v>61</v>
      </c>
      <c r="T10">
        <v>61</v>
      </c>
      <c r="U10">
        <v>61</v>
      </c>
      <c r="V10">
        <v>61</v>
      </c>
      <c r="W10">
        <v>61</v>
      </c>
      <c r="X10">
        <v>61</v>
      </c>
      <c r="Y10">
        <v>61</v>
      </c>
      <c r="Z10">
        <v>61</v>
      </c>
      <c r="AA10">
        <v>61</v>
      </c>
      <c r="AB10">
        <v>61</v>
      </c>
      <c r="AC10">
        <v>61</v>
      </c>
      <c r="AD10">
        <v>61</v>
      </c>
      <c r="AE10">
        <v>61</v>
      </c>
      <c r="AF10">
        <v>61</v>
      </c>
      <c r="AG10">
        <v>61</v>
      </c>
      <c r="AH10">
        <v>61</v>
      </c>
      <c r="AI10">
        <v>61</v>
      </c>
      <c r="AJ10">
        <v>61</v>
      </c>
      <c r="AK10">
        <v>61</v>
      </c>
      <c r="AL10">
        <v>61</v>
      </c>
      <c r="AM10">
        <v>61</v>
      </c>
      <c r="AN10">
        <v>61</v>
      </c>
      <c r="AO10">
        <v>61</v>
      </c>
      <c r="AP10">
        <v>61</v>
      </c>
    </row>
    <row r="11" spans="1:59">
      <c r="A11">
        <v>16</v>
      </c>
      <c r="B11">
        <v>61</v>
      </c>
      <c r="C11">
        <v>61</v>
      </c>
      <c r="D11">
        <v>61</v>
      </c>
      <c r="E11">
        <v>61</v>
      </c>
      <c r="F11">
        <v>61</v>
      </c>
      <c r="G11">
        <v>61</v>
      </c>
      <c r="H11">
        <v>61</v>
      </c>
      <c r="I11">
        <v>61</v>
      </c>
      <c r="J11">
        <v>61</v>
      </c>
      <c r="K11">
        <v>61</v>
      </c>
      <c r="L11">
        <v>61</v>
      </c>
      <c r="M11">
        <v>61</v>
      </c>
      <c r="N11">
        <v>61</v>
      </c>
      <c r="O11">
        <v>61</v>
      </c>
      <c r="P11">
        <v>61</v>
      </c>
      <c r="Q11">
        <v>61</v>
      </c>
      <c r="R11">
        <v>61</v>
      </c>
      <c r="S11">
        <v>61</v>
      </c>
      <c r="T11">
        <v>61</v>
      </c>
      <c r="U11">
        <v>61</v>
      </c>
      <c r="V11">
        <v>61</v>
      </c>
      <c r="W11">
        <v>61</v>
      </c>
      <c r="X11">
        <v>61</v>
      </c>
      <c r="Y11">
        <v>61</v>
      </c>
      <c r="Z11">
        <v>61</v>
      </c>
      <c r="AA11">
        <v>61</v>
      </c>
      <c r="AB11">
        <v>61</v>
      </c>
      <c r="AC11">
        <v>61</v>
      </c>
      <c r="AD11">
        <v>61</v>
      </c>
      <c r="AE11">
        <v>61</v>
      </c>
      <c r="AF11">
        <v>61</v>
      </c>
      <c r="AG11">
        <v>61</v>
      </c>
      <c r="AH11">
        <v>61</v>
      </c>
      <c r="AI11">
        <v>61</v>
      </c>
      <c r="AJ11">
        <v>61</v>
      </c>
      <c r="AK11">
        <v>61</v>
      </c>
      <c r="AL11">
        <v>61</v>
      </c>
      <c r="AM11">
        <v>61</v>
      </c>
      <c r="AN11">
        <v>61</v>
      </c>
      <c r="AO11">
        <v>61</v>
      </c>
      <c r="AP11">
        <v>61</v>
      </c>
      <c r="AQ11">
        <v>61</v>
      </c>
      <c r="AR11">
        <v>61</v>
      </c>
      <c r="AS11">
        <v>61</v>
      </c>
      <c r="AT11">
        <v>61</v>
      </c>
      <c r="AU11">
        <v>61</v>
      </c>
      <c r="AV11">
        <v>61</v>
      </c>
      <c r="AW11">
        <v>61</v>
      </c>
      <c r="AX11">
        <v>61</v>
      </c>
      <c r="AY11">
        <v>61</v>
      </c>
      <c r="AZ11">
        <v>61</v>
      </c>
      <c r="BA11">
        <v>61</v>
      </c>
      <c r="BB11">
        <v>61</v>
      </c>
      <c r="BC11">
        <v>61</v>
      </c>
      <c r="BD11">
        <v>61</v>
      </c>
      <c r="BE11">
        <v>61</v>
      </c>
      <c r="BF11">
        <v>21</v>
      </c>
      <c r="BG11">
        <v>23</v>
      </c>
    </row>
    <row r="12" spans="1:59">
      <c r="A12">
        <v>17</v>
      </c>
      <c r="B12">
        <v>91</v>
      </c>
      <c r="C12">
        <v>18</v>
      </c>
      <c r="D12">
        <v>17</v>
      </c>
      <c r="E12">
        <v>40</v>
      </c>
      <c r="F12">
        <v>42</v>
      </c>
      <c r="G12">
        <v>47</v>
      </c>
      <c r="H12">
        <v>15</v>
      </c>
      <c r="I12">
        <v>38</v>
      </c>
      <c r="J12">
        <v>17</v>
      </c>
      <c r="K12">
        <v>22</v>
      </c>
      <c r="L12">
        <v>21</v>
      </c>
      <c r="M12">
        <v>9</v>
      </c>
      <c r="N12">
        <v>6</v>
      </c>
      <c r="O12">
        <v>8</v>
      </c>
      <c r="P12">
        <v>7</v>
      </c>
      <c r="Q12">
        <v>6</v>
      </c>
      <c r="R12">
        <v>5</v>
      </c>
      <c r="S12">
        <v>23</v>
      </c>
      <c r="T12">
        <v>11</v>
      </c>
      <c r="U12">
        <v>37</v>
      </c>
      <c r="V12">
        <v>54</v>
      </c>
      <c r="W12">
        <v>28</v>
      </c>
      <c r="X12">
        <v>23</v>
      </c>
      <c r="Y12">
        <v>31</v>
      </c>
      <c r="Z12">
        <v>11</v>
      </c>
      <c r="AA12">
        <v>28</v>
      </c>
      <c r="AB12">
        <v>4</v>
      </c>
      <c r="AC12">
        <v>11</v>
      </c>
      <c r="AD12">
        <v>16</v>
      </c>
      <c r="AE12">
        <v>11</v>
      </c>
      <c r="AF12">
        <v>11</v>
      </c>
      <c r="AG12">
        <v>12</v>
      </c>
      <c r="AH12">
        <v>6</v>
      </c>
      <c r="AI12">
        <v>1618</v>
      </c>
      <c r="AJ12">
        <v>10</v>
      </c>
      <c r="AK12">
        <v>44</v>
      </c>
      <c r="AL12">
        <v>64</v>
      </c>
      <c r="AM12">
        <v>69</v>
      </c>
      <c r="AN12">
        <v>40</v>
      </c>
      <c r="AO12">
        <v>104</v>
      </c>
      <c r="AP12">
        <v>61</v>
      </c>
      <c r="AQ12">
        <v>108</v>
      </c>
    </row>
    <row r="13" spans="1:59">
      <c r="A13">
        <v>19</v>
      </c>
      <c r="B13">
        <v>19</v>
      </c>
      <c r="C13">
        <v>25</v>
      </c>
      <c r="D13">
        <v>44</v>
      </c>
      <c r="E13">
        <v>25</v>
      </c>
      <c r="F13">
        <v>33</v>
      </c>
      <c r="G13">
        <v>78</v>
      </c>
      <c r="H13">
        <v>12</v>
      </c>
      <c r="I13">
        <v>16</v>
      </c>
      <c r="J13">
        <v>13</v>
      </c>
      <c r="K13">
        <v>59</v>
      </c>
      <c r="L13">
        <v>8</v>
      </c>
      <c r="M13">
        <v>6</v>
      </c>
      <c r="N13">
        <v>174</v>
      </c>
      <c r="O13">
        <v>26</v>
      </c>
      <c r="P13">
        <v>16</v>
      </c>
      <c r="Q13">
        <v>13</v>
      </c>
      <c r="R13">
        <v>59</v>
      </c>
      <c r="S13">
        <v>10</v>
      </c>
      <c r="T13">
        <v>12</v>
      </c>
      <c r="U13">
        <v>26</v>
      </c>
      <c r="V13">
        <v>8</v>
      </c>
    </row>
    <row r="14" spans="1:59">
      <c r="A14">
        <v>20</v>
      </c>
      <c r="B14">
        <v>75</v>
      </c>
      <c r="C14">
        <v>14</v>
      </c>
      <c r="D14">
        <v>10</v>
      </c>
      <c r="E14">
        <v>13</v>
      </c>
      <c r="F14">
        <v>21</v>
      </c>
      <c r="G14">
        <v>13</v>
      </c>
      <c r="H14">
        <v>10</v>
      </c>
      <c r="I14">
        <v>13</v>
      </c>
      <c r="J14">
        <v>10</v>
      </c>
      <c r="K14">
        <v>11</v>
      </c>
      <c r="L14">
        <v>6</v>
      </c>
      <c r="M14">
        <v>6</v>
      </c>
      <c r="N14">
        <v>5</v>
      </c>
      <c r="O14">
        <v>97</v>
      </c>
      <c r="P14">
        <v>38</v>
      </c>
      <c r="Q14">
        <v>9</v>
      </c>
      <c r="R14">
        <v>16</v>
      </c>
      <c r="S14">
        <v>11</v>
      </c>
      <c r="T14">
        <v>16</v>
      </c>
      <c r="U14">
        <v>15</v>
      </c>
      <c r="V14">
        <v>9</v>
      </c>
      <c r="W14">
        <v>6</v>
      </c>
      <c r="X14">
        <v>184</v>
      </c>
      <c r="Y14">
        <v>18</v>
      </c>
      <c r="Z14">
        <v>23</v>
      </c>
      <c r="AA14">
        <v>49</v>
      </c>
      <c r="AB14">
        <v>47</v>
      </c>
      <c r="AC14">
        <v>53</v>
      </c>
      <c r="AD14">
        <v>63</v>
      </c>
    </row>
    <row r="15" spans="1:59">
      <c r="A15">
        <v>22</v>
      </c>
      <c r="B15">
        <v>187</v>
      </c>
      <c r="C15">
        <v>29</v>
      </c>
      <c r="D15">
        <v>36</v>
      </c>
      <c r="E15">
        <v>61</v>
      </c>
      <c r="F15">
        <v>17</v>
      </c>
      <c r="G15">
        <v>16</v>
      </c>
      <c r="H15">
        <v>81</v>
      </c>
      <c r="I15">
        <v>43</v>
      </c>
      <c r="J15">
        <v>11</v>
      </c>
      <c r="K15">
        <v>10</v>
      </c>
      <c r="L15">
        <v>22</v>
      </c>
      <c r="M15">
        <v>11</v>
      </c>
      <c r="N15">
        <v>12</v>
      </c>
      <c r="O15">
        <v>14</v>
      </c>
      <c r="P15">
        <v>26</v>
      </c>
      <c r="Q15">
        <v>10</v>
      </c>
      <c r="R15">
        <v>16</v>
      </c>
      <c r="S15">
        <v>15</v>
      </c>
      <c r="T15">
        <v>74</v>
      </c>
      <c r="U15">
        <v>287</v>
      </c>
      <c r="V15">
        <v>532</v>
      </c>
      <c r="W15">
        <v>17</v>
      </c>
      <c r="X15">
        <v>46</v>
      </c>
      <c r="Y15">
        <v>130</v>
      </c>
      <c r="Z15">
        <v>71</v>
      </c>
      <c r="AA15">
        <v>218</v>
      </c>
      <c r="AB15">
        <v>67</v>
      </c>
      <c r="AC15">
        <v>160</v>
      </c>
      <c r="AD15">
        <v>22</v>
      </c>
      <c r="AE15">
        <v>32</v>
      </c>
      <c r="AF15">
        <v>9</v>
      </c>
      <c r="AG15">
        <v>13</v>
      </c>
      <c r="AH15">
        <v>7</v>
      </c>
      <c r="AI15">
        <v>12</v>
      </c>
      <c r="AJ15">
        <v>9</v>
      </c>
      <c r="AK15">
        <v>126</v>
      </c>
      <c r="AL15">
        <v>477</v>
      </c>
      <c r="AM15">
        <v>123</v>
      </c>
      <c r="AN15">
        <v>177</v>
      </c>
      <c r="AO15">
        <v>90</v>
      </c>
      <c r="AP15">
        <v>114</v>
      </c>
      <c r="AQ15">
        <v>78</v>
      </c>
      <c r="AR15">
        <v>11</v>
      </c>
      <c r="AS15">
        <v>15</v>
      </c>
    </row>
    <row r="16" spans="1:59">
      <c r="A16">
        <v>23</v>
      </c>
      <c r="B16">
        <v>269</v>
      </c>
      <c r="C16">
        <v>34</v>
      </c>
      <c r="D16">
        <v>29</v>
      </c>
      <c r="E16">
        <v>31</v>
      </c>
      <c r="F16">
        <v>39</v>
      </c>
      <c r="G16">
        <v>25</v>
      </c>
      <c r="H16">
        <v>15</v>
      </c>
      <c r="I16">
        <v>16</v>
      </c>
      <c r="J16">
        <v>28</v>
      </c>
      <c r="K16">
        <v>11</v>
      </c>
      <c r="L16">
        <v>8</v>
      </c>
      <c r="M16">
        <v>7</v>
      </c>
      <c r="N16">
        <v>83</v>
      </c>
      <c r="O16">
        <v>36</v>
      </c>
      <c r="P16">
        <v>22</v>
      </c>
      <c r="Q16">
        <v>15</v>
      </c>
      <c r="R16">
        <v>60</v>
      </c>
      <c r="S16">
        <v>14</v>
      </c>
      <c r="T16">
        <v>17</v>
      </c>
      <c r="U16">
        <v>13</v>
      </c>
      <c r="V16">
        <v>18</v>
      </c>
      <c r="W16">
        <v>28</v>
      </c>
      <c r="X16">
        <v>11</v>
      </c>
      <c r="Y16">
        <v>10</v>
      </c>
      <c r="Z16">
        <v>6</v>
      </c>
      <c r="AA16">
        <v>123</v>
      </c>
      <c r="AB16">
        <v>158</v>
      </c>
      <c r="AC16">
        <v>6</v>
      </c>
      <c r="AD16">
        <v>6</v>
      </c>
      <c r="AE16">
        <v>103</v>
      </c>
      <c r="AF16">
        <v>40</v>
      </c>
      <c r="AG16">
        <v>99</v>
      </c>
      <c r="AH16">
        <v>4</v>
      </c>
      <c r="AI16">
        <v>277</v>
      </c>
      <c r="AJ16">
        <v>12</v>
      </c>
    </row>
    <row r="17" spans="1:85">
      <c r="A17">
        <v>24</v>
      </c>
      <c r="B17">
        <v>66</v>
      </c>
      <c r="C17">
        <v>65</v>
      </c>
      <c r="D17">
        <v>39</v>
      </c>
      <c r="E17">
        <v>53</v>
      </c>
      <c r="F17">
        <v>24</v>
      </c>
      <c r="G17">
        <v>22</v>
      </c>
      <c r="H17">
        <v>20</v>
      </c>
      <c r="I17">
        <v>17</v>
      </c>
      <c r="J17">
        <v>21</v>
      </c>
      <c r="K17">
        <v>10</v>
      </c>
      <c r="L17">
        <v>15</v>
      </c>
      <c r="M17">
        <v>6</v>
      </c>
      <c r="N17">
        <v>6</v>
      </c>
      <c r="O17">
        <v>32</v>
      </c>
      <c r="P17">
        <v>47</v>
      </c>
      <c r="Q17">
        <v>68</v>
      </c>
      <c r="R17">
        <v>61</v>
      </c>
      <c r="S17">
        <v>81</v>
      </c>
      <c r="T17">
        <v>201</v>
      </c>
      <c r="U17">
        <v>5</v>
      </c>
      <c r="V17">
        <v>9</v>
      </c>
      <c r="W17">
        <v>34</v>
      </c>
      <c r="X17">
        <v>67</v>
      </c>
      <c r="Y17">
        <v>62</v>
      </c>
      <c r="Z17">
        <v>31</v>
      </c>
      <c r="AA17">
        <v>11</v>
      </c>
      <c r="AB17">
        <v>16</v>
      </c>
      <c r="AC17">
        <v>9</v>
      </c>
      <c r="AD17">
        <v>8</v>
      </c>
      <c r="AE17">
        <v>26</v>
      </c>
      <c r="AF17">
        <v>169</v>
      </c>
      <c r="AG17">
        <v>38</v>
      </c>
    </row>
    <row r="18" spans="1:85">
      <c r="A18">
        <v>27</v>
      </c>
      <c r="B18">
        <v>152</v>
      </c>
      <c r="C18">
        <v>127</v>
      </c>
      <c r="D18">
        <v>82</v>
      </c>
      <c r="E18">
        <v>186</v>
      </c>
      <c r="F18">
        <v>27</v>
      </c>
      <c r="G18">
        <v>16</v>
      </c>
      <c r="H18">
        <v>216</v>
      </c>
      <c r="I18">
        <v>59</v>
      </c>
      <c r="J18">
        <v>10</v>
      </c>
      <c r="K18">
        <v>135</v>
      </c>
      <c r="L18">
        <v>83</v>
      </c>
      <c r="M18">
        <v>111</v>
      </c>
      <c r="N18">
        <v>192</v>
      </c>
      <c r="O18">
        <v>88</v>
      </c>
      <c r="P18">
        <v>53</v>
      </c>
      <c r="Q18">
        <v>29</v>
      </c>
      <c r="R18">
        <v>21</v>
      </c>
      <c r="S18">
        <v>39</v>
      </c>
      <c r="T18">
        <v>124</v>
      </c>
      <c r="U18">
        <v>52</v>
      </c>
      <c r="V18">
        <v>17</v>
      </c>
      <c r="W18">
        <v>121</v>
      </c>
      <c r="X18">
        <v>104</v>
      </c>
      <c r="Y18">
        <v>47</v>
      </c>
      <c r="Z18">
        <v>12</v>
      </c>
      <c r="AA18">
        <v>14</v>
      </c>
      <c r="AB18">
        <v>14</v>
      </c>
      <c r="AC18">
        <v>63</v>
      </c>
      <c r="AD18">
        <v>9</v>
      </c>
      <c r="AE18">
        <v>57</v>
      </c>
    </row>
    <row r="19" spans="1:85">
      <c r="A19">
        <v>28</v>
      </c>
      <c r="B19">
        <v>29</v>
      </c>
    </row>
    <row r="20" spans="1:85">
      <c r="A20">
        <v>30</v>
      </c>
      <c r="B20">
        <v>19</v>
      </c>
      <c r="C20">
        <v>20</v>
      </c>
      <c r="D20">
        <v>13</v>
      </c>
      <c r="E20">
        <v>36</v>
      </c>
      <c r="F20">
        <v>19</v>
      </c>
      <c r="G20">
        <v>11</v>
      </c>
      <c r="H20">
        <v>8</v>
      </c>
      <c r="I20">
        <v>70</v>
      </c>
      <c r="J20">
        <v>18</v>
      </c>
      <c r="K20">
        <v>10</v>
      </c>
      <c r="L20">
        <v>17</v>
      </c>
      <c r="M20">
        <v>6</v>
      </c>
      <c r="N20">
        <v>9</v>
      </c>
      <c r="O20">
        <v>7</v>
      </c>
      <c r="P20">
        <v>5</v>
      </c>
      <c r="Q20">
        <v>5</v>
      </c>
      <c r="R20">
        <v>8</v>
      </c>
      <c r="S20">
        <v>26</v>
      </c>
      <c r="T20">
        <v>52</v>
      </c>
      <c r="U20">
        <v>21</v>
      </c>
      <c r="V20">
        <v>8</v>
      </c>
      <c r="W20">
        <v>8</v>
      </c>
      <c r="X20">
        <v>16</v>
      </c>
      <c r="Y20">
        <v>16</v>
      </c>
      <c r="Z20">
        <v>4</v>
      </c>
      <c r="AA20">
        <v>10</v>
      </c>
      <c r="AB20">
        <v>5</v>
      </c>
      <c r="AC20">
        <v>6</v>
      </c>
      <c r="AD20">
        <v>5</v>
      </c>
      <c r="AE20">
        <v>50</v>
      </c>
      <c r="AF20">
        <v>49</v>
      </c>
      <c r="AG20">
        <v>48</v>
      </c>
      <c r="AH20">
        <v>20</v>
      </c>
      <c r="AI20">
        <v>34</v>
      </c>
      <c r="AJ20">
        <v>56</v>
      </c>
      <c r="AK20">
        <v>22</v>
      </c>
      <c r="AL20">
        <v>36</v>
      </c>
      <c r="AM20">
        <v>82</v>
      </c>
    </row>
    <row r="21" spans="1:85">
      <c r="A21">
        <v>32</v>
      </c>
      <c r="B21">
        <v>20</v>
      </c>
      <c r="C21">
        <v>10</v>
      </c>
      <c r="D21">
        <v>11</v>
      </c>
      <c r="E21">
        <v>29</v>
      </c>
      <c r="F21">
        <v>72</v>
      </c>
      <c r="G21">
        <v>40</v>
      </c>
      <c r="H21">
        <v>26</v>
      </c>
      <c r="I21">
        <v>25</v>
      </c>
      <c r="J21">
        <v>27</v>
      </c>
      <c r="K21">
        <v>18</v>
      </c>
      <c r="L21">
        <v>19</v>
      </c>
      <c r="M21">
        <v>17</v>
      </c>
      <c r="N21">
        <v>18</v>
      </c>
      <c r="O21">
        <v>27</v>
      </c>
      <c r="P21">
        <v>29</v>
      </c>
      <c r="Q21">
        <v>16</v>
      </c>
      <c r="R21">
        <v>33</v>
      </c>
      <c r="S21">
        <v>24</v>
      </c>
      <c r="T21">
        <v>13</v>
      </c>
      <c r="U21">
        <v>14</v>
      </c>
      <c r="V21">
        <v>11</v>
      </c>
      <c r="W21">
        <v>13</v>
      </c>
      <c r="X21">
        <v>9</v>
      </c>
      <c r="Y21">
        <v>72</v>
      </c>
      <c r="Z21">
        <v>26</v>
      </c>
      <c r="AA21">
        <v>46</v>
      </c>
    </row>
    <row r="22" spans="1:85">
      <c r="A22">
        <v>33</v>
      </c>
      <c r="B22">
        <v>12</v>
      </c>
      <c r="C22">
        <v>21</v>
      </c>
      <c r="D22">
        <v>12</v>
      </c>
      <c r="E22">
        <v>41</v>
      </c>
      <c r="F22">
        <v>52</v>
      </c>
      <c r="G22">
        <v>22</v>
      </c>
      <c r="H22">
        <v>15</v>
      </c>
      <c r="I22">
        <v>38</v>
      </c>
      <c r="J22">
        <v>22</v>
      </c>
      <c r="K22">
        <v>85</v>
      </c>
      <c r="L22">
        <v>28</v>
      </c>
      <c r="M22">
        <v>75</v>
      </c>
      <c r="N22">
        <v>18</v>
      </c>
      <c r="O22">
        <v>6</v>
      </c>
      <c r="P22">
        <v>19</v>
      </c>
      <c r="Q22">
        <v>14</v>
      </c>
      <c r="R22">
        <v>15</v>
      </c>
      <c r="S22">
        <v>81</v>
      </c>
      <c r="T22">
        <v>28</v>
      </c>
      <c r="U22">
        <v>78</v>
      </c>
      <c r="V22">
        <v>40</v>
      </c>
      <c r="W22">
        <v>30</v>
      </c>
      <c r="X22">
        <v>121</v>
      </c>
      <c r="Y22">
        <v>16</v>
      </c>
      <c r="Z22">
        <v>17</v>
      </c>
      <c r="AA22">
        <v>22</v>
      </c>
      <c r="AB22">
        <v>14</v>
      </c>
      <c r="AC22">
        <v>16</v>
      </c>
      <c r="AD22">
        <v>12</v>
      </c>
      <c r="AE22">
        <v>11</v>
      </c>
      <c r="AF22">
        <v>16</v>
      </c>
      <c r="AG22">
        <v>8</v>
      </c>
      <c r="AH22">
        <v>10</v>
      </c>
      <c r="AI22">
        <v>9</v>
      </c>
      <c r="AJ22">
        <v>11</v>
      </c>
      <c r="AK22">
        <v>15</v>
      </c>
      <c r="AL22">
        <v>14</v>
      </c>
      <c r="AM22">
        <v>17</v>
      </c>
      <c r="AN22">
        <v>14</v>
      </c>
      <c r="AO22">
        <v>14</v>
      </c>
      <c r="AP22">
        <v>282</v>
      </c>
      <c r="AQ22">
        <v>17</v>
      </c>
      <c r="AR22">
        <v>28</v>
      </c>
      <c r="AS22">
        <v>14</v>
      </c>
      <c r="AT22">
        <v>69</v>
      </c>
      <c r="AU22">
        <v>45</v>
      </c>
      <c r="AV22">
        <v>79</v>
      </c>
      <c r="AW22">
        <v>207</v>
      </c>
      <c r="AX22">
        <v>19</v>
      </c>
      <c r="AY22">
        <v>9</v>
      </c>
      <c r="AZ22">
        <v>35</v>
      </c>
      <c r="BA22">
        <v>23</v>
      </c>
      <c r="BB22">
        <v>32</v>
      </c>
      <c r="BC22">
        <v>287</v>
      </c>
      <c r="BD22">
        <v>149</v>
      </c>
      <c r="BE22">
        <v>32</v>
      </c>
      <c r="BF22">
        <v>49</v>
      </c>
      <c r="BG22">
        <v>39</v>
      </c>
      <c r="BH22">
        <v>26</v>
      </c>
      <c r="BI22">
        <v>20</v>
      </c>
      <c r="BJ22">
        <v>9</v>
      </c>
      <c r="BK22">
        <v>14</v>
      </c>
      <c r="BL22">
        <v>157</v>
      </c>
      <c r="BM22">
        <v>25</v>
      </c>
      <c r="BN22">
        <v>87</v>
      </c>
      <c r="BO22">
        <v>20</v>
      </c>
      <c r="BP22">
        <v>12</v>
      </c>
      <c r="BQ22">
        <v>14</v>
      </c>
      <c r="BR22">
        <v>35</v>
      </c>
      <c r="BS22">
        <v>28</v>
      </c>
      <c r="BT22">
        <v>35</v>
      </c>
      <c r="BU22">
        <v>124</v>
      </c>
      <c r="BV22">
        <v>23</v>
      </c>
      <c r="BW22">
        <v>70</v>
      </c>
      <c r="BX22">
        <v>18</v>
      </c>
      <c r="BY22">
        <v>128</v>
      </c>
      <c r="BZ22">
        <v>30</v>
      </c>
      <c r="CA22">
        <v>88</v>
      </c>
      <c r="CB22">
        <v>39</v>
      </c>
      <c r="CC22">
        <v>38</v>
      </c>
      <c r="CD22">
        <v>32</v>
      </c>
      <c r="CE22">
        <v>140</v>
      </c>
      <c r="CF22">
        <v>55</v>
      </c>
      <c r="CG22">
        <v>18</v>
      </c>
    </row>
    <row r="23" spans="1:85">
      <c r="A23">
        <v>36</v>
      </c>
      <c r="B23">
        <v>131</v>
      </c>
      <c r="C23">
        <v>84</v>
      </c>
      <c r="D23">
        <v>55</v>
      </c>
      <c r="E23">
        <v>43</v>
      </c>
      <c r="F23">
        <v>51</v>
      </c>
      <c r="G23">
        <v>44</v>
      </c>
      <c r="H23">
        <v>19</v>
      </c>
      <c r="I23">
        <v>30</v>
      </c>
      <c r="J23">
        <v>15</v>
      </c>
      <c r="K23">
        <v>17</v>
      </c>
      <c r="L23">
        <v>15</v>
      </c>
      <c r="M23">
        <v>16</v>
      </c>
      <c r="N23">
        <v>13</v>
      </c>
      <c r="O23">
        <v>20</v>
      </c>
      <c r="P23">
        <v>23</v>
      </c>
      <c r="Q23">
        <v>25</v>
      </c>
      <c r="R23">
        <v>19</v>
      </c>
      <c r="S23">
        <v>12</v>
      </c>
      <c r="T23">
        <v>13</v>
      </c>
      <c r="U23">
        <v>16</v>
      </c>
      <c r="V23">
        <v>9</v>
      </c>
      <c r="W23">
        <v>329</v>
      </c>
      <c r="X23">
        <v>105</v>
      </c>
      <c r="Y23">
        <v>47</v>
      </c>
      <c r="Z23">
        <v>72</v>
      </c>
    </row>
    <row r="24" spans="1:85">
      <c r="A24">
        <v>38</v>
      </c>
      <c r="B24">
        <v>174</v>
      </c>
      <c r="C24">
        <v>31</v>
      </c>
      <c r="D24">
        <v>48</v>
      </c>
      <c r="E24">
        <v>72</v>
      </c>
      <c r="F24">
        <v>26</v>
      </c>
      <c r="G24">
        <v>28</v>
      </c>
      <c r="H24">
        <v>82</v>
      </c>
      <c r="I24">
        <v>36</v>
      </c>
      <c r="J24">
        <v>57</v>
      </c>
      <c r="K24">
        <v>18</v>
      </c>
      <c r="L24">
        <v>15</v>
      </c>
      <c r="M24">
        <v>11</v>
      </c>
      <c r="N24">
        <v>16</v>
      </c>
      <c r="O24">
        <v>157</v>
      </c>
      <c r="P24">
        <v>15</v>
      </c>
      <c r="Q24">
        <v>159</v>
      </c>
      <c r="R24">
        <v>217</v>
      </c>
      <c r="S24">
        <v>199</v>
      </c>
      <c r="T24">
        <v>21</v>
      </c>
      <c r="U24">
        <v>28</v>
      </c>
      <c r="V24">
        <v>54</v>
      </c>
      <c r="W24">
        <v>21</v>
      </c>
      <c r="X24">
        <v>86</v>
      </c>
      <c r="Y24">
        <v>14</v>
      </c>
      <c r="Z24">
        <v>39</v>
      </c>
      <c r="AA24">
        <v>14</v>
      </c>
      <c r="AB24">
        <v>15</v>
      </c>
      <c r="AC24">
        <v>6</v>
      </c>
      <c r="AD24">
        <v>667</v>
      </c>
      <c r="AE24">
        <v>187</v>
      </c>
      <c r="AF24">
        <v>49</v>
      </c>
      <c r="AG24">
        <v>150</v>
      </c>
      <c r="AH24">
        <v>200</v>
      </c>
      <c r="AI24">
        <v>45</v>
      </c>
      <c r="AJ24">
        <v>79</v>
      </c>
      <c r="AK24">
        <v>73</v>
      </c>
      <c r="AL24">
        <v>137</v>
      </c>
      <c r="AM24">
        <v>89</v>
      </c>
    </row>
    <row r="25" spans="1:85">
      <c r="A25">
        <v>42</v>
      </c>
      <c r="B25">
        <v>110</v>
      </c>
      <c r="C25">
        <v>118</v>
      </c>
      <c r="D25">
        <v>31</v>
      </c>
      <c r="E25">
        <v>26</v>
      </c>
      <c r="F25">
        <v>43</v>
      </c>
      <c r="G25">
        <v>40</v>
      </c>
      <c r="H25">
        <v>89</v>
      </c>
      <c r="I25">
        <v>33</v>
      </c>
      <c r="J25">
        <v>17</v>
      </c>
      <c r="K25">
        <v>12</v>
      </c>
      <c r="L25">
        <v>22</v>
      </c>
      <c r="M25">
        <v>29</v>
      </c>
      <c r="N25">
        <v>9</v>
      </c>
      <c r="O25">
        <v>9</v>
      </c>
      <c r="P25">
        <v>8</v>
      </c>
      <c r="Q25">
        <v>8</v>
      </c>
      <c r="R25">
        <v>21</v>
      </c>
      <c r="S25">
        <v>14</v>
      </c>
      <c r="T25">
        <v>26</v>
      </c>
      <c r="U25">
        <v>15</v>
      </c>
      <c r="V25">
        <v>32</v>
      </c>
      <c r="W25">
        <v>7</v>
      </c>
      <c r="X25">
        <v>6</v>
      </c>
      <c r="Y25">
        <v>36</v>
      </c>
      <c r="Z25">
        <v>32</v>
      </c>
      <c r="AA25">
        <v>15</v>
      </c>
      <c r="AB25">
        <v>21</v>
      </c>
      <c r="AC25">
        <v>12</v>
      </c>
      <c r="AD25">
        <v>23</v>
      </c>
      <c r="AE25">
        <v>9</v>
      </c>
      <c r="AF25">
        <v>11</v>
      </c>
      <c r="AG25">
        <v>150</v>
      </c>
      <c r="AH25">
        <v>151</v>
      </c>
      <c r="AI25">
        <v>152</v>
      </c>
      <c r="AJ25">
        <v>106</v>
      </c>
      <c r="AK25">
        <v>136</v>
      </c>
      <c r="AL25">
        <v>536</v>
      </c>
    </row>
    <row r="26" spans="1:85">
      <c r="A26">
        <v>43</v>
      </c>
      <c r="B26">
        <v>133</v>
      </c>
      <c r="C26">
        <v>23</v>
      </c>
      <c r="D26">
        <v>62</v>
      </c>
      <c r="E26">
        <v>21</v>
      </c>
      <c r="F26">
        <v>48</v>
      </c>
      <c r="G26">
        <v>46</v>
      </c>
      <c r="H26">
        <v>22</v>
      </c>
      <c r="I26">
        <v>19</v>
      </c>
      <c r="J26">
        <v>13</v>
      </c>
      <c r="K26">
        <v>14</v>
      </c>
      <c r="L26">
        <v>12</v>
      </c>
      <c r="M26">
        <v>9</v>
      </c>
      <c r="N26">
        <v>14</v>
      </c>
      <c r="O26">
        <v>9</v>
      </c>
      <c r="P26">
        <v>9</v>
      </c>
      <c r="Q26">
        <v>22</v>
      </c>
      <c r="R26">
        <v>37</v>
      </c>
      <c r="S26">
        <v>70</v>
      </c>
      <c r="T26">
        <v>15</v>
      </c>
      <c r="U26">
        <v>12</v>
      </c>
      <c r="V26">
        <v>84</v>
      </c>
      <c r="W26">
        <v>11</v>
      </c>
      <c r="X26">
        <v>10</v>
      </c>
      <c r="Y26">
        <v>13</v>
      </c>
      <c r="Z26">
        <v>11</v>
      </c>
      <c r="AA26">
        <v>566</v>
      </c>
      <c r="AB26">
        <v>56</v>
      </c>
      <c r="AC26">
        <v>158</v>
      </c>
      <c r="AD26">
        <v>39</v>
      </c>
      <c r="AE26">
        <v>140</v>
      </c>
      <c r="AF26">
        <v>115</v>
      </c>
      <c r="AG26">
        <v>63</v>
      </c>
      <c r="AH26">
        <v>87</v>
      </c>
      <c r="AI26">
        <v>58</v>
      </c>
      <c r="AJ26">
        <v>55</v>
      </c>
    </row>
    <row r="27" spans="1:85">
      <c r="A27">
        <v>45</v>
      </c>
      <c r="B27">
        <v>80</v>
      </c>
      <c r="C27">
        <v>25</v>
      </c>
      <c r="D27">
        <v>53</v>
      </c>
      <c r="E27">
        <v>29</v>
      </c>
      <c r="F27">
        <v>46</v>
      </c>
      <c r="G27">
        <v>251</v>
      </c>
      <c r="H27">
        <v>42</v>
      </c>
      <c r="I27">
        <v>17</v>
      </c>
      <c r="J27">
        <v>10</v>
      </c>
      <c r="K27">
        <v>8</v>
      </c>
      <c r="L27">
        <v>14</v>
      </c>
      <c r="M27">
        <v>10</v>
      </c>
      <c r="N27">
        <v>14</v>
      </c>
      <c r="O27">
        <v>9</v>
      </c>
      <c r="P27">
        <v>15</v>
      </c>
      <c r="Q27">
        <v>44</v>
      </c>
      <c r="R27">
        <v>17</v>
      </c>
      <c r="S27">
        <v>12</v>
      </c>
      <c r="T27">
        <v>9</v>
      </c>
      <c r="U27">
        <v>17</v>
      </c>
      <c r="V27">
        <v>8</v>
      </c>
      <c r="W27">
        <v>117</v>
      </c>
      <c r="X27">
        <v>27</v>
      </c>
      <c r="Y27">
        <v>258</v>
      </c>
    </row>
    <row r="28" spans="1:85">
      <c r="A28">
        <v>47</v>
      </c>
      <c r="B28">
        <v>59</v>
      </c>
      <c r="C28">
        <v>33</v>
      </c>
      <c r="D28">
        <v>24</v>
      </c>
      <c r="E28">
        <v>20</v>
      </c>
      <c r="F28">
        <v>25</v>
      </c>
      <c r="G28">
        <v>108</v>
      </c>
      <c r="H28">
        <v>16</v>
      </c>
      <c r="I28">
        <v>34</v>
      </c>
      <c r="J28">
        <v>21</v>
      </c>
      <c r="K28">
        <v>10</v>
      </c>
      <c r="L28">
        <v>13</v>
      </c>
      <c r="M28">
        <v>22</v>
      </c>
      <c r="N28">
        <v>8</v>
      </c>
      <c r="O28">
        <v>12</v>
      </c>
      <c r="P28">
        <v>15</v>
      </c>
      <c r="Q28">
        <v>8</v>
      </c>
      <c r="R28">
        <v>12</v>
      </c>
      <c r="S28">
        <v>54</v>
      </c>
      <c r="T28">
        <v>11</v>
      </c>
      <c r="U28">
        <v>45</v>
      </c>
      <c r="V28">
        <v>30</v>
      </c>
      <c r="W28">
        <v>35</v>
      </c>
      <c r="X28">
        <v>12</v>
      </c>
      <c r="Y28">
        <v>24</v>
      </c>
      <c r="Z28">
        <v>12</v>
      </c>
      <c r="AA28">
        <v>10</v>
      </c>
      <c r="AB28">
        <v>229</v>
      </c>
      <c r="AC28">
        <v>92</v>
      </c>
      <c r="AD28">
        <v>91</v>
      </c>
      <c r="AE28">
        <v>172</v>
      </c>
    </row>
    <row r="29" spans="1:85">
      <c r="A29">
        <v>48</v>
      </c>
      <c r="B29">
        <v>76</v>
      </c>
      <c r="C29">
        <v>70</v>
      </c>
      <c r="D29">
        <v>70</v>
      </c>
      <c r="E29">
        <v>36</v>
      </c>
      <c r="F29">
        <v>27</v>
      </c>
      <c r="G29">
        <v>36</v>
      </c>
      <c r="H29">
        <v>18</v>
      </c>
      <c r="I29">
        <v>18</v>
      </c>
      <c r="J29">
        <v>18</v>
      </c>
      <c r="K29">
        <v>15</v>
      </c>
      <c r="L29">
        <v>11</v>
      </c>
      <c r="M29">
        <v>6</v>
      </c>
      <c r="N29">
        <v>11</v>
      </c>
      <c r="O29">
        <v>19</v>
      </c>
      <c r="P29">
        <v>25</v>
      </c>
      <c r="Q29">
        <v>13</v>
      </c>
      <c r="R29">
        <v>11</v>
      </c>
      <c r="S29">
        <v>13</v>
      </c>
      <c r="T29">
        <v>9</v>
      </c>
      <c r="U29">
        <v>310</v>
      </c>
      <c r="V29">
        <v>211</v>
      </c>
      <c r="W29">
        <v>72</v>
      </c>
      <c r="X29">
        <v>90</v>
      </c>
      <c r="Y29">
        <v>88</v>
      </c>
      <c r="Z29">
        <v>45</v>
      </c>
      <c r="AA29">
        <v>103</v>
      </c>
      <c r="AB29">
        <v>126</v>
      </c>
      <c r="AC29">
        <v>548</v>
      </c>
      <c r="AD29">
        <v>47</v>
      </c>
      <c r="AE29">
        <v>57</v>
      </c>
    </row>
    <row r="30" spans="1:85">
      <c r="A30">
        <v>49</v>
      </c>
      <c r="B30">
        <v>48</v>
      </c>
      <c r="C30">
        <v>70</v>
      </c>
      <c r="D30">
        <v>20</v>
      </c>
      <c r="E30">
        <v>29</v>
      </c>
      <c r="F30">
        <v>39</v>
      </c>
      <c r="G30">
        <v>63</v>
      </c>
      <c r="H30">
        <v>16</v>
      </c>
      <c r="I30">
        <v>27</v>
      </c>
      <c r="J30">
        <v>10</v>
      </c>
      <c r="K30">
        <v>10</v>
      </c>
      <c r="L30">
        <v>6</v>
      </c>
      <c r="M30">
        <v>8</v>
      </c>
      <c r="N30">
        <v>92</v>
      </c>
      <c r="O30">
        <v>10</v>
      </c>
      <c r="P30">
        <v>10</v>
      </c>
      <c r="Q30">
        <v>26</v>
      </c>
      <c r="R30">
        <v>6</v>
      </c>
      <c r="S30">
        <v>15</v>
      </c>
      <c r="T30">
        <v>15</v>
      </c>
      <c r="U30">
        <v>6</v>
      </c>
      <c r="V30">
        <v>8</v>
      </c>
      <c r="W30">
        <v>12</v>
      </c>
      <c r="X30">
        <v>6</v>
      </c>
      <c r="Y30">
        <v>530</v>
      </c>
      <c r="Z30">
        <v>131</v>
      </c>
      <c r="AA30">
        <v>188</v>
      </c>
      <c r="AB30">
        <v>32</v>
      </c>
      <c r="AC30">
        <v>30</v>
      </c>
      <c r="AD30">
        <v>98</v>
      </c>
      <c r="AE30">
        <v>675</v>
      </c>
      <c r="AF30">
        <v>51</v>
      </c>
      <c r="AG30">
        <v>29</v>
      </c>
    </row>
    <row r="31" spans="1:85">
      <c r="A31">
        <v>52</v>
      </c>
      <c r="B31">
        <v>274</v>
      </c>
      <c r="C31">
        <v>22</v>
      </c>
      <c r="D31">
        <v>27</v>
      </c>
      <c r="E31">
        <v>360</v>
      </c>
      <c r="F31">
        <v>124</v>
      </c>
      <c r="G31">
        <v>247</v>
      </c>
      <c r="H31">
        <v>151</v>
      </c>
      <c r="I31">
        <v>422</v>
      </c>
      <c r="J31">
        <v>56</v>
      </c>
      <c r="K31">
        <v>52</v>
      </c>
      <c r="L31">
        <v>22</v>
      </c>
      <c r="M31">
        <v>13</v>
      </c>
      <c r="N31">
        <v>14</v>
      </c>
      <c r="O31">
        <v>14</v>
      </c>
      <c r="P31">
        <v>18</v>
      </c>
      <c r="Q31">
        <v>8</v>
      </c>
      <c r="R31">
        <v>6</v>
      </c>
      <c r="S31">
        <v>32</v>
      </c>
      <c r="T31">
        <v>436</v>
      </c>
      <c r="U31">
        <v>77</v>
      </c>
      <c r="V31">
        <v>4</v>
      </c>
      <c r="W31">
        <v>674</v>
      </c>
      <c r="X31">
        <v>23</v>
      </c>
      <c r="Y31">
        <v>40</v>
      </c>
      <c r="Z31">
        <v>11</v>
      </c>
      <c r="AA31">
        <v>10</v>
      </c>
      <c r="AB31">
        <v>12</v>
      </c>
      <c r="AC31">
        <v>11</v>
      </c>
      <c r="AD31">
        <v>10</v>
      </c>
      <c r="AE31">
        <v>256</v>
      </c>
      <c r="AF31">
        <v>56</v>
      </c>
      <c r="AG31">
        <v>74</v>
      </c>
      <c r="AH31">
        <v>56</v>
      </c>
      <c r="AI31">
        <v>54</v>
      </c>
      <c r="AJ31">
        <v>43</v>
      </c>
    </row>
    <row r="32" spans="1:85">
      <c r="A32">
        <v>54</v>
      </c>
      <c r="B32">
        <v>574</v>
      </c>
      <c r="C32">
        <v>44</v>
      </c>
      <c r="D32">
        <v>21</v>
      </c>
      <c r="E32">
        <v>72</v>
      </c>
      <c r="F32">
        <v>96</v>
      </c>
      <c r="G32">
        <v>3</v>
      </c>
      <c r="H32">
        <v>12</v>
      </c>
      <c r="I32">
        <v>21</v>
      </c>
      <c r="J32">
        <v>32</v>
      </c>
      <c r="K32">
        <v>65</v>
      </c>
      <c r="L32">
        <v>44</v>
      </c>
      <c r="M32">
        <v>50</v>
      </c>
      <c r="N32">
        <v>204</v>
      </c>
      <c r="O32">
        <v>15</v>
      </c>
      <c r="P32">
        <v>54</v>
      </c>
      <c r="Q32">
        <v>43</v>
      </c>
      <c r="R32">
        <v>68</v>
      </c>
      <c r="S32">
        <v>37</v>
      </c>
      <c r="T32">
        <v>12</v>
      </c>
      <c r="U32">
        <v>15</v>
      </c>
      <c r="V32">
        <v>13</v>
      </c>
      <c r="W32">
        <v>8</v>
      </c>
      <c r="X32">
        <v>59</v>
      </c>
      <c r="Y32">
        <v>7</v>
      </c>
      <c r="Z32">
        <v>44</v>
      </c>
      <c r="AA32">
        <v>5</v>
      </c>
      <c r="AB32">
        <v>43</v>
      </c>
      <c r="AC32">
        <v>12</v>
      </c>
      <c r="AD32">
        <v>71</v>
      </c>
      <c r="AE32">
        <v>46</v>
      </c>
      <c r="AF32">
        <v>14</v>
      </c>
      <c r="AG32">
        <v>21</v>
      </c>
      <c r="AH32">
        <v>11</v>
      </c>
      <c r="AI32">
        <v>15</v>
      </c>
      <c r="AJ32">
        <v>40</v>
      </c>
      <c r="AK32">
        <v>17</v>
      </c>
      <c r="AL32">
        <v>19</v>
      </c>
      <c r="AM32">
        <v>51</v>
      </c>
      <c r="AN32">
        <v>10</v>
      </c>
      <c r="AO32">
        <v>7</v>
      </c>
      <c r="AP32">
        <v>544</v>
      </c>
      <c r="AQ32">
        <v>6</v>
      </c>
      <c r="AR32">
        <v>30</v>
      </c>
      <c r="AS32">
        <v>6</v>
      </c>
      <c r="AT32">
        <v>7</v>
      </c>
      <c r="AU32">
        <v>36</v>
      </c>
      <c r="AV32">
        <v>73</v>
      </c>
      <c r="AW32">
        <v>36</v>
      </c>
      <c r="AX32">
        <v>36</v>
      </c>
      <c r="AY32">
        <v>86</v>
      </c>
      <c r="AZ32">
        <v>35</v>
      </c>
      <c r="BA32">
        <v>241</v>
      </c>
      <c r="BB32">
        <v>136</v>
      </c>
      <c r="BC32">
        <v>24</v>
      </c>
      <c r="BD32">
        <v>32</v>
      </c>
      <c r="BE32">
        <v>63</v>
      </c>
      <c r="BF32">
        <v>77</v>
      </c>
      <c r="BG32">
        <v>98</v>
      </c>
      <c r="BH32">
        <v>47</v>
      </c>
      <c r="BI32">
        <v>40</v>
      </c>
      <c r="BJ32">
        <v>92</v>
      </c>
      <c r="BK32">
        <v>155</v>
      </c>
      <c r="BL32">
        <v>4</v>
      </c>
      <c r="BM32">
        <v>46</v>
      </c>
      <c r="BN32">
        <v>20</v>
      </c>
      <c r="BO32">
        <v>52</v>
      </c>
      <c r="BP32">
        <v>94</v>
      </c>
      <c r="BQ32">
        <v>4</v>
      </c>
      <c r="BR32">
        <v>24</v>
      </c>
      <c r="BS32">
        <v>5</v>
      </c>
      <c r="BT32">
        <v>11</v>
      </c>
      <c r="BU32">
        <v>3</v>
      </c>
      <c r="BV32">
        <v>4</v>
      </c>
      <c r="BW32">
        <v>55</v>
      </c>
      <c r="BX32">
        <v>3</v>
      </c>
      <c r="BY32">
        <v>183</v>
      </c>
      <c r="BZ32">
        <v>494</v>
      </c>
    </row>
    <row r="33" spans="1:61">
      <c r="A33">
        <v>55</v>
      </c>
      <c r="B33">
        <v>293</v>
      </c>
      <c r="C33">
        <v>38</v>
      </c>
      <c r="D33">
        <v>24</v>
      </c>
      <c r="E33">
        <v>18</v>
      </c>
      <c r="F33">
        <v>40</v>
      </c>
      <c r="G33">
        <v>19</v>
      </c>
      <c r="H33">
        <v>13</v>
      </c>
      <c r="I33">
        <v>11</v>
      </c>
      <c r="J33">
        <v>10</v>
      </c>
      <c r="K33">
        <v>10</v>
      </c>
      <c r="L33">
        <v>9</v>
      </c>
      <c r="M33">
        <v>7</v>
      </c>
      <c r="N33">
        <v>8</v>
      </c>
      <c r="O33">
        <v>7</v>
      </c>
      <c r="P33">
        <v>5</v>
      </c>
      <c r="Q33">
        <v>12</v>
      </c>
      <c r="R33">
        <v>8</v>
      </c>
      <c r="S33">
        <v>14</v>
      </c>
      <c r="T33">
        <v>12</v>
      </c>
      <c r="U33">
        <v>12</v>
      </c>
      <c r="V33">
        <v>12</v>
      </c>
      <c r="W33">
        <v>11</v>
      </c>
      <c r="X33">
        <v>67</v>
      </c>
      <c r="Y33">
        <v>88</v>
      </c>
      <c r="Z33">
        <v>31</v>
      </c>
      <c r="AA33">
        <v>89</v>
      </c>
      <c r="AB33">
        <v>32</v>
      </c>
      <c r="AC33">
        <v>33</v>
      </c>
      <c r="AD33">
        <v>35</v>
      </c>
      <c r="AE33">
        <v>137</v>
      </c>
      <c r="AF33">
        <v>78</v>
      </c>
      <c r="AG33">
        <v>189</v>
      </c>
      <c r="AH33">
        <v>144</v>
      </c>
      <c r="AI33">
        <v>60</v>
      </c>
      <c r="AJ33">
        <v>103</v>
      </c>
      <c r="AK33">
        <v>79</v>
      </c>
    </row>
    <row r="34" spans="1:61">
      <c r="A34">
        <v>57</v>
      </c>
      <c r="B34">
        <v>674</v>
      </c>
      <c r="C34">
        <v>30</v>
      </c>
      <c r="D34">
        <v>25</v>
      </c>
      <c r="E34">
        <v>27</v>
      </c>
      <c r="F34">
        <v>57</v>
      </c>
      <c r="G34">
        <v>30</v>
      </c>
      <c r="H34">
        <v>13</v>
      </c>
      <c r="I34">
        <v>32</v>
      </c>
      <c r="J34">
        <v>12</v>
      </c>
      <c r="K34">
        <v>13</v>
      </c>
      <c r="L34">
        <v>11</v>
      </c>
      <c r="M34">
        <v>154</v>
      </c>
      <c r="N34">
        <v>63</v>
      </c>
      <c r="O34">
        <v>78</v>
      </c>
      <c r="P34">
        <v>87</v>
      </c>
      <c r="Q34">
        <v>457</v>
      </c>
      <c r="R34">
        <v>74</v>
      </c>
      <c r="S34">
        <v>21</v>
      </c>
      <c r="T34">
        <v>10</v>
      </c>
      <c r="U34">
        <v>24</v>
      </c>
      <c r="V34">
        <v>20</v>
      </c>
      <c r="W34">
        <v>12</v>
      </c>
      <c r="X34">
        <v>18</v>
      </c>
      <c r="Y34">
        <v>17</v>
      </c>
      <c r="Z34">
        <v>17</v>
      </c>
      <c r="AA34">
        <v>94</v>
      </c>
      <c r="AB34">
        <v>23</v>
      </c>
      <c r="AC34">
        <v>31</v>
      </c>
      <c r="AD34">
        <v>14</v>
      </c>
      <c r="AE34">
        <v>10</v>
      </c>
      <c r="AF34">
        <v>444</v>
      </c>
      <c r="AG34">
        <v>35</v>
      </c>
      <c r="AH34">
        <v>195</v>
      </c>
      <c r="AI34">
        <v>203</v>
      </c>
      <c r="AJ34">
        <v>119</v>
      </c>
      <c r="AK34">
        <v>396</v>
      </c>
    </row>
    <row r="35" spans="1:61">
      <c r="A35">
        <v>58</v>
      </c>
      <c r="B35">
        <v>46</v>
      </c>
      <c r="C35">
        <v>50</v>
      </c>
      <c r="D35">
        <v>31</v>
      </c>
      <c r="E35">
        <v>35</v>
      </c>
      <c r="F35">
        <v>35</v>
      </c>
      <c r="G35">
        <v>21</v>
      </c>
      <c r="H35">
        <v>26</v>
      </c>
      <c r="I35">
        <v>26</v>
      </c>
      <c r="J35">
        <v>25</v>
      </c>
      <c r="K35">
        <v>18</v>
      </c>
      <c r="L35">
        <v>20</v>
      </c>
      <c r="M35">
        <v>8</v>
      </c>
      <c r="N35">
        <v>7</v>
      </c>
      <c r="O35">
        <v>71</v>
      </c>
      <c r="P35">
        <v>55</v>
      </c>
      <c r="Q35">
        <v>27</v>
      </c>
      <c r="R35">
        <v>18</v>
      </c>
      <c r="S35">
        <v>198</v>
      </c>
      <c r="T35">
        <v>29</v>
      </c>
      <c r="U35">
        <v>28</v>
      </c>
      <c r="V35">
        <v>16</v>
      </c>
      <c r="W35">
        <v>13</v>
      </c>
      <c r="X35">
        <v>11</v>
      </c>
      <c r="Y35">
        <v>251</v>
      </c>
      <c r="Z35">
        <v>182</v>
      </c>
      <c r="AA35">
        <v>69</v>
      </c>
      <c r="AB35">
        <v>54</v>
      </c>
      <c r="AC35">
        <v>1659</v>
      </c>
      <c r="AD35">
        <v>78</v>
      </c>
      <c r="AE35">
        <v>80</v>
      </c>
    </row>
    <row r="36" spans="1:61">
      <c r="A36">
        <v>62</v>
      </c>
      <c r="B36">
        <v>30</v>
      </c>
      <c r="C36">
        <v>22</v>
      </c>
      <c r="D36">
        <v>125</v>
      </c>
      <c r="E36">
        <v>32</v>
      </c>
      <c r="F36">
        <v>22</v>
      </c>
      <c r="G36">
        <v>37</v>
      </c>
      <c r="H36">
        <v>95</v>
      </c>
      <c r="I36">
        <v>28</v>
      </c>
      <c r="J36">
        <v>210</v>
      </c>
      <c r="K36">
        <v>23</v>
      </c>
      <c r="L36">
        <v>31</v>
      </c>
      <c r="M36">
        <v>11</v>
      </c>
      <c r="N36">
        <v>16</v>
      </c>
      <c r="O36">
        <v>21</v>
      </c>
      <c r="P36">
        <v>30</v>
      </c>
      <c r="Q36">
        <v>26</v>
      </c>
      <c r="R36">
        <v>35</v>
      </c>
      <c r="S36">
        <v>82</v>
      </c>
      <c r="T36">
        <v>17</v>
      </c>
      <c r="U36">
        <v>29</v>
      </c>
      <c r="V36">
        <v>23</v>
      </c>
      <c r="W36">
        <v>13</v>
      </c>
      <c r="X36">
        <v>13</v>
      </c>
      <c r="Y36">
        <v>102</v>
      </c>
      <c r="Z36">
        <v>67</v>
      </c>
      <c r="AA36">
        <v>116</v>
      </c>
      <c r="AB36">
        <v>24</v>
      </c>
      <c r="AC36">
        <v>35</v>
      </c>
      <c r="AD36">
        <v>18</v>
      </c>
      <c r="AE36">
        <v>27</v>
      </c>
      <c r="AF36">
        <v>21</v>
      </c>
      <c r="AG36">
        <v>146</v>
      </c>
      <c r="AH36">
        <v>65</v>
      </c>
      <c r="AI36">
        <v>43</v>
      </c>
      <c r="AJ36">
        <v>28</v>
      </c>
      <c r="AK36">
        <v>101</v>
      </c>
      <c r="AL36">
        <v>44</v>
      </c>
      <c r="AM36">
        <v>132</v>
      </c>
      <c r="AN36">
        <v>35</v>
      </c>
      <c r="AO36">
        <v>36</v>
      </c>
      <c r="AP36">
        <v>33</v>
      </c>
      <c r="AQ36">
        <v>61</v>
      </c>
      <c r="AR36">
        <v>33</v>
      </c>
      <c r="AS36">
        <v>38</v>
      </c>
      <c r="AT36">
        <v>40</v>
      </c>
      <c r="AU36">
        <v>124</v>
      </c>
      <c r="AV36">
        <v>53</v>
      </c>
      <c r="AW36">
        <v>14</v>
      </c>
      <c r="AX36">
        <v>25</v>
      </c>
      <c r="AY36">
        <v>17</v>
      </c>
      <c r="AZ36">
        <v>15</v>
      </c>
      <c r="BA36">
        <v>18</v>
      </c>
      <c r="BB36">
        <v>25</v>
      </c>
      <c r="BC36">
        <v>12</v>
      </c>
      <c r="BD36">
        <v>11</v>
      </c>
      <c r="BE36">
        <v>96</v>
      </c>
      <c r="BF36">
        <v>16</v>
      </c>
      <c r="BG36">
        <v>43</v>
      </c>
      <c r="BH36">
        <v>10</v>
      </c>
      <c r="BI36">
        <v>11</v>
      </c>
    </row>
    <row r="37" spans="1:61">
      <c r="A37">
        <v>63</v>
      </c>
      <c r="B37">
        <v>42</v>
      </c>
      <c r="C37">
        <v>105</v>
      </c>
      <c r="D37">
        <v>23</v>
      </c>
      <c r="E37">
        <v>60</v>
      </c>
      <c r="F37">
        <v>24</v>
      </c>
      <c r="G37">
        <v>21</v>
      </c>
      <c r="H37">
        <v>23</v>
      </c>
      <c r="I37">
        <v>10</v>
      </c>
      <c r="J37">
        <v>14</v>
      </c>
      <c r="K37">
        <v>8</v>
      </c>
      <c r="L37">
        <v>7</v>
      </c>
      <c r="M37">
        <v>6</v>
      </c>
      <c r="N37">
        <v>5</v>
      </c>
      <c r="O37">
        <v>6</v>
      </c>
      <c r="P37">
        <v>16</v>
      </c>
      <c r="Q37">
        <v>16</v>
      </c>
      <c r="R37">
        <v>8</v>
      </c>
      <c r="S37">
        <v>8</v>
      </c>
      <c r="T37">
        <v>10</v>
      </c>
      <c r="U37">
        <v>7</v>
      </c>
      <c r="V37">
        <v>74</v>
      </c>
      <c r="W37">
        <v>11</v>
      </c>
      <c r="X37">
        <v>141</v>
      </c>
      <c r="Y37">
        <v>8</v>
      </c>
    </row>
    <row r="38" spans="1:61">
      <c r="A38">
        <v>64</v>
      </c>
      <c r="B38">
        <v>116</v>
      </c>
      <c r="C38">
        <v>63</v>
      </c>
      <c r="D38">
        <v>27</v>
      </c>
      <c r="E38">
        <v>11</v>
      </c>
      <c r="F38">
        <v>21</v>
      </c>
      <c r="G38">
        <v>16</v>
      </c>
      <c r="H38">
        <v>28</v>
      </c>
      <c r="I38">
        <v>42</v>
      </c>
      <c r="J38">
        <v>50</v>
      </c>
      <c r="K38">
        <v>26</v>
      </c>
      <c r="L38">
        <v>12</v>
      </c>
      <c r="M38">
        <v>18</v>
      </c>
      <c r="N38">
        <v>52</v>
      </c>
      <c r="O38">
        <v>18</v>
      </c>
      <c r="P38">
        <v>24</v>
      </c>
      <c r="Q38">
        <v>40</v>
      </c>
      <c r="R38">
        <v>29</v>
      </c>
      <c r="S38">
        <v>8</v>
      </c>
      <c r="T38">
        <v>20</v>
      </c>
      <c r="U38">
        <v>15</v>
      </c>
      <c r="V38">
        <v>6</v>
      </c>
      <c r="W38">
        <v>6</v>
      </c>
      <c r="X38">
        <v>10</v>
      </c>
      <c r="Y38">
        <v>9</v>
      </c>
      <c r="Z38">
        <v>51</v>
      </c>
      <c r="AA38">
        <v>50</v>
      </c>
      <c r="AB38">
        <v>39</v>
      </c>
      <c r="AC38">
        <v>13</v>
      </c>
      <c r="AD38">
        <v>9</v>
      </c>
      <c r="AE38">
        <v>17</v>
      </c>
      <c r="AF38">
        <v>9</v>
      </c>
      <c r="AG38">
        <v>12</v>
      </c>
      <c r="AH38">
        <v>9</v>
      </c>
      <c r="AI38">
        <v>60</v>
      </c>
      <c r="AJ38">
        <v>10</v>
      </c>
      <c r="AK38">
        <v>12</v>
      </c>
      <c r="AL38">
        <v>12</v>
      </c>
      <c r="AM38">
        <v>67</v>
      </c>
      <c r="AN38">
        <v>16</v>
      </c>
      <c r="AO38">
        <v>20</v>
      </c>
      <c r="AP38">
        <v>28</v>
      </c>
      <c r="AQ38">
        <v>19</v>
      </c>
      <c r="AR38">
        <v>9</v>
      </c>
      <c r="AS38">
        <v>97</v>
      </c>
      <c r="AT38">
        <v>306</v>
      </c>
      <c r="AU38">
        <v>62</v>
      </c>
      <c r="AV38">
        <v>32</v>
      </c>
    </row>
    <row r="39" spans="1:61">
      <c r="A39">
        <v>65</v>
      </c>
      <c r="B39">
        <v>32</v>
      </c>
      <c r="C39">
        <v>19</v>
      </c>
      <c r="D39">
        <v>15</v>
      </c>
      <c r="E39">
        <v>25</v>
      </c>
      <c r="F39">
        <v>44</v>
      </c>
      <c r="G39">
        <v>12</v>
      </c>
      <c r="H39">
        <v>9</v>
      </c>
      <c r="I39">
        <v>25</v>
      </c>
      <c r="J39">
        <v>14</v>
      </c>
      <c r="K39">
        <v>15</v>
      </c>
      <c r="L39">
        <v>10</v>
      </c>
      <c r="M39">
        <v>9</v>
      </c>
      <c r="N39">
        <v>8</v>
      </c>
      <c r="O39">
        <v>14</v>
      </c>
      <c r="P39">
        <v>20</v>
      </c>
      <c r="Q39">
        <v>9</v>
      </c>
      <c r="R39">
        <v>11</v>
      </c>
      <c r="S39">
        <v>12</v>
      </c>
      <c r="T39">
        <v>8</v>
      </c>
      <c r="U39">
        <v>555</v>
      </c>
      <c r="V39">
        <v>23</v>
      </c>
    </row>
    <row r="40" spans="1:61">
      <c r="A40">
        <v>68</v>
      </c>
      <c r="B40">
        <v>126</v>
      </c>
      <c r="C40">
        <v>66</v>
      </c>
      <c r="D40">
        <v>205</v>
      </c>
      <c r="E40">
        <v>195</v>
      </c>
      <c r="F40">
        <v>17</v>
      </c>
      <c r="G40">
        <v>128</v>
      </c>
      <c r="H40">
        <v>24</v>
      </c>
      <c r="I40">
        <v>12</v>
      </c>
      <c r="J40">
        <v>10</v>
      </c>
      <c r="K40">
        <v>8</v>
      </c>
      <c r="L40">
        <v>8</v>
      </c>
      <c r="M40">
        <v>106</v>
      </c>
      <c r="N40">
        <v>6</v>
      </c>
      <c r="O40">
        <v>132</v>
      </c>
      <c r="P40">
        <v>32</v>
      </c>
      <c r="Q40">
        <v>80</v>
      </c>
      <c r="R40">
        <v>24</v>
      </c>
      <c r="S40">
        <v>340</v>
      </c>
      <c r="T40">
        <v>20</v>
      </c>
      <c r="U40">
        <v>8</v>
      </c>
      <c r="V40">
        <v>14</v>
      </c>
      <c r="W40">
        <v>9</v>
      </c>
      <c r="X40">
        <v>1975</v>
      </c>
      <c r="Y40">
        <v>70</v>
      </c>
      <c r="Z40">
        <v>267</v>
      </c>
      <c r="AA40">
        <v>82</v>
      </c>
      <c r="AB40">
        <v>201</v>
      </c>
    </row>
    <row r="41" spans="1:61">
      <c r="A41">
        <v>73</v>
      </c>
      <c r="B41">
        <v>110</v>
      </c>
      <c r="C41">
        <v>34</v>
      </c>
      <c r="D41">
        <v>60</v>
      </c>
      <c r="E41">
        <v>14</v>
      </c>
      <c r="F41">
        <v>17</v>
      </c>
      <c r="G41">
        <v>17</v>
      </c>
      <c r="H41">
        <v>23</v>
      </c>
      <c r="I41">
        <v>12</v>
      </c>
      <c r="J41">
        <v>18</v>
      </c>
      <c r="K41">
        <v>10</v>
      </c>
      <c r="L41">
        <v>12</v>
      </c>
      <c r="M41">
        <v>8</v>
      </c>
      <c r="N41">
        <v>9</v>
      </c>
      <c r="O41">
        <v>58</v>
      </c>
      <c r="P41">
        <v>30</v>
      </c>
      <c r="Q41">
        <v>40</v>
      </c>
      <c r="R41">
        <v>19</v>
      </c>
      <c r="S41">
        <v>21</v>
      </c>
      <c r="T41">
        <v>11</v>
      </c>
      <c r="U41">
        <v>9</v>
      </c>
      <c r="V41">
        <v>11</v>
      </c>
      <c r="W41">
        <v>14</v>
      </c>
      <c r="X41">
        <v>150</v>
      </c>
      <c r="Y41">
        <v>127</v>
      </c>
      <c r="Z41">
        <v>46</v>
      </c>
      <c r="AA41">
        <v>67</v>
      </c>
      <c r="AB41">
        <v>27</v>
      </c>
      <c r="AC41">
        <v>18</v>
      </c>
      <c r="AD41">
        <v>62</v>
      </c>
      <c r="AE41">
        <v>63</v>
      </c>
      <c r="AF41">
        <v>56</v>
      </c>
    </row>
    <row r="42" spans="1:61">
      <c r="A42">
        <v>74</v>
      </c>
      <c r="B42">
        <v>96</v>
      </c>
      <c r="C42">
        <v>26</v>
      </c>
      <c r="D42">
        <v>21</v>
      </c>
      <c r="E42">
        <v>16</v>
      </c>
      <c r="F42">
        <v>31</v>
      </c>
      <c r="G42">
        <v>40</v>
      </c>
      <c r="H42">
        <v>11</v>
      </c>
      <c r="I42">
        <v>12</v>
      </c>
      <c r="J42">
        <v>20</v>
      </c>
      <c r="K42">
        <v>16</v>
      </c>
      <c r="L42">
        <v>9</v>
      </c>
      <c r="M42">
        <v>8</v>
      </c>
      <c r="N42">
        <v>8</v>
      </c>
      <c r="O42">
        <v>11</v>
      </c>
      <c r="P42">
        <v>22</v>
      </c>
      <c r="Q42">
        <v>14</v>
      </c>
      <c r="R42">
        <v>9</v>
      </c>
      <c r="S42">
        <v>8</v>
      </c>
      <c r="T42">
        <v>7</v>
      </c>
      <c r="U42">
        <v>81</v>
      </c>
      <c r="V42">
        <v>15</v>
      </c>
      <c r="W42">
        <v>49</v>
      </c>
      <c r="X42">
        <v>39</v>
      </c>
      <c r="Y42">
        <v>48</v>
      </c>
      <c r="Z42">
        <v>31</v>
      </c>
    </row>
    <row r="43" spans="1:61">
      <c r="A43">
        <v>75</v>
      </c>
      <c r="B43">
        <v>42</v>
      </c>
      <c r="C43">
        <v>57</v>
      </c>
      <c r="D43">
        <v>38</v>
      </c>
      <c r="E43">
        <v>31</v>
      </c>
      <c r="F43">
        <v>36</v>
      </c>
      <c r="G43">
        <v>76</v>
      </c>
      <c r="H43">
        <v>22</v>
      </c>
      <c r="I43">
        <v>25</v>
      </c>
      <c r="J43">
        <v>34</v>
      </c>
      <c r="K43">
        <v>9</v>
      </c>
      <c r="L43">
        <v>12</v>
      </c>
      <c r="M43">
        <v>22</v>
      </c>
      <c r="N43">
        <v>1629</v>
      </c>
      <c r="O43">
        <v>12</v>
      </c>
      <c r="P43">
        <v>27</v>
      </c>
      <c r="Q43">
        <v>30</v>
      </c>
      <c r="R43">
        <v>61</v>
      </c>
      <c r="S43">
        <v>41</v>
      </c>
      <c r="T43">
        <v>19</v>
      </c>
      <c r="U43">
        <v>22</v>
      </c>
      <c r="V43">
        <v>90</v>
      </c>
      <c r="W43">
        <v>24</v>
      </c>
      <c r="X43">
        <v>6</v>
      </c>
      <c r="Y43">
        <v>11</v>
      </c>
      <c r="Z43">
        <v>17</v>
      </c>
      <c r="AA43">
        <v>307</v>
      </c>
      <c r="AB43">
        <v>464</v>
      </c>
      <c r="AC43">
        <v>114</v>
      </c>
      <c r="AD43">
        <v>68</v>
      </c>
      <c r="AE43">
        <v>64</v>
      </c>
      <c r="AF43">
        <v>397</v>
      </c>
      <c r="AG43">
        <v>180</v>
      </c>
      <c r="AH43">
        <v>56</v>
      </c>
      <c r="AI43">
        <v>175</v>
      </c>
      <c r="AJ43">
        <v>25</v>
      </c>
      <c r="AK43">
        <v>20</v>
      </c>
    </row>
    <row r="44" spans="1:61">
      <c r="A44">
        <v>78</v>
      </c>
      <c r="B44">
        <v>250</v>
      </c>
      <c r="C44">
        <v>31</v>
      </c>
      <c r="D44">
        <v>175</v>
      </c>
      <c r="E44">
        <v>28</v>
      </c>
      <c r="F44">
        <v>129</v>
      </c>
      <c r="G44">
        <v>55</v>
      </c>
      <c r="H44">
        <v>123</v>
      </c>
      <c r="I44">
        <v>18</v>
      </c>
      <c r="J44">
        <v>72</v>
      </c>
      <c r="K44">
        <v>36</v>
      </c>
      <c r="L44">
        <v>27</v>
      </c>
      <c r="M44">
        <v>21</v>
      </c>
      <c r="N44">
        <v>34</v>
      </c>
      <c r="O44">
        <v>13</v>
      </c>
      <c r="P44">
        <v>18</v>
      </c>
      <c r="Q44">
        <v>8</v>
      </c>
      <c r="R44">
        <v>7</v>
      </c>
      <c r="S44">
        <v>87</v>
      </c>
      <c r="T44">
        <v>18</v>
      </c>
      <c r="U44">
        <v>30</v>
      </c>
      <c r="V44">
        <v>34</v>
      </c>
      <c r="W44">
        <v>17</v>
      </c>
      <c r="X44">
        <v>16</v>
      </c>
      <c r="Y44">
        <v>13</v>
      </c>
      <c r="Z44">
        <v>12</v>
      </c>
      <c r="AA44">
        <v>11</v>
      </c>
      <c r="AB44">
        <v>12</v>
      </c>
      <c r="AC44">
        <v>310</v>
      </c>
      <c r="AD44">
        <v>120</v>
      </c>
      <c r="AE44">
        <v>121</v>
      </c>
      <c r="AF44">
        <v>131</v>
      </c>
      <c r="AG44">
        <v>56</v>
      </c>
      <c r="AH44">
        <v>33</v>
      </c>
      <c r="AI44">
        <v>51</v>
      </c>
      <c r="AJ44">
        <v>279</v>
      </c>
      <c r="AK44">
        <v>87</v>
      </c>
      <c r="AL44">
        <v>126</v>
      </c>
      <c r="AM44">
        <v>80</v>
      </c>
    </row>
    <row r="45" spans="1:61">
      <c r="A45">
        <v>79</v>
      </c>
      <c r="B45">
        <v>45</v>
      </c>
      <c r="C45">
        <v>24</v>
      </c>
      <c r="D45">
        <v>40</v>
      </c>
      <c r="E45">
        <v>29</v>
      </c>
      <c r="F45">
        <v>34</v>
      </c>
      <c r="G45">
        <v>23</v>
      </c>
      <c r="H45">
        <v>18</v>
      </c>
      <c r="I45">
        <v>10</v>
      </c>
      <c r="J45">
        <v>12</v>
      </c>
      <c r="K45">
        <v>21</v>
      </c>
      <c r="L45">
        <v>13</v>
      </c>
      <c r="M45">
        <v>8</v>
      </c>
      <c r="N45">
        <v>12</v>
      </c>
      <c r="O45">
        <v>6</v>
      </c>
      <c r="P45">
        <v>36</v>
      </c>
      <c r="Q45">
        <v>12</v>
      </c>
      <c r="R45">
        <v>34</v>
      </c>
      <c r="S45">
        <v>13</v>
      </c>
      <c r="T45">
        <v>25</v>
      </c>
      <c r="U45">
        <v>9</v>
      </c>
      <c r="V45">
        <v>9</v>
      </c>
      <c r="W45">
        <v>14</v>
      </c>
      <c r="X45">
        <v>8</v>
      </c>
      <c r="Y45">
        <v>109</v>
      </c>
      <c r="Z45">
        <v>97</v>
      </c>
      <c r="AA45">
        <v>74</v>
      </c>
      <c r="AB45">
        <v>110</v>
      </c>
    </row>
    <row r="46" spans="1:61">
      <c r="A46">
        <v>80</v>
      </c>
      <c r="B46">
        <v>39</v>
      </c>
      <c r="C46">
        <v>22</v>
      </c>
      <c r="D46">
        <v>43</v>
      </c>
      <c r="E46">
        <v>34</v>
      </c>
      <c r="F46">
        <v>63</v>
      </c>
      <c r="G46">
        <v>13</v>
      </c>
      <c r="H46">
        <v>16</v>
      </c>
      <c r="I46">
        <v>60</v>
      </c>
      <c r="J46">
        <v>17</v>
      </c>
      <c r="K46">
        <v>22</v>
      </c>
      <c r="L46">
        <v>12</v>
      </c>
      <c r="M46">
        <v>12</v>
      </c>
      <c r="N46">
        <v>9</v>
      </c>
      <c r="O46">
        <v>8</v>
      </c>
      <c r="P46">
        <v>15</v>
      </c>
      <c r="Q46">
        <v>15</v>
      </c>
      <c r="R46">
        <v>20</v>
      </c>
      <c r="S46">
        <v>17</v>
      </c>
      <c r="T46">
        <v>14</v>
      </c>
      <c r="U46">
        <v>12</v>
      </c>
      <c r="V46">
        <v>11</v>
      </c>
      <c r="W46">
        <v>43</v>
      </c>
      <c r="X46">
        <v>115</v>
      </c>
      <c r="Y46">
        <v>28</v>
      </c>
      <c r="Z46">
        <v>6</v>
      </c>
      <c r="AA46">
        <v>33</v>
      </c>
      <c r="AB46">
        <v>10</v>
      </c>
      <c r="AC46">
        <v>39</v>
      </c>
      <c r="AD46">
        <v>15</v>
      </c>
      <c r="AE46">
        <v>12</v>
      </c>
      <c r="AF46">
        <v>32</v>
      </c>
      <c r="AG46">
        <v>18</v>
      </c>
      <c r="AH46">
        <v>12</v>
      </c>
      <c r="AI46">
        <v>36</v>
      </c>
      <c r="AJ46">
        <v>8</v>
      </c>
      <c r="AK46">
        <v>49</v>
      </c>
      <c r="AL46">
        <v>30</v>
      </c>
      <c r="AM46">
        <v>163</v>
      </c>
      <c r="AN46">
        <v>155</v>
      </c>
      <c r="AO46">
        <v>81</v>
      </c>
      <c r="AP46">
        <v>77</v>
      </c>
      <c r="AQ46">
        <v>46</v>
      </c>
      <c r="AR46">
        <v>13</v>
      </c>
      <c r="AS46">
        <v>7</v>
      </c>
      <c r="AT46">
        <v>39</v>
      </c>
    </row>
    <row r="47" spans="1:61">
      <c r="A47">
        <v>81</v>
      </c>
      <c r="B47">
        <v>85</v>
      </c>
      <c r="C47">
        <v>69</v>
      </c>
      <c r="D47">
        <v>24</v>
      </c>
      <c r="E47">
        <v>16</v>
      </c>
      <c r="F47">
        <v>17</v>
      </c>
      <c r="G47">
        <v>16</v>
      </c>
      <c r="H47">
        <v>24</v>
      </c>
      <c r="I47">
        <v>11</v>
      </c>
      <c r="J47">
        <v>14</v>
      </c>
      <c r="K47">
        <v>17</v>
      </c>
      <c r="L47">
        <v>11</v>
      </c>
      <c r="M47">
        <v>11</v>
      </c>
      <c r="N47">
        <v>7</v>
      </c>
      <c r="O47">
        <v>20</v>
      </c>
      <c r="P47">
        <v>9</v>
      </c>
      <c r="Q47">
        <v>21</v>
      </c>
      <c r="R47">
        <v>12</v>
      </c>
      <c r="S47">
        <v>18</v>
      </c>
      <c r="T47">
        <v>118</v>
      </c>
      <c r="U47">
        <v>28</v>
      </c>
      <c r="V47">
        <v>10</v>
      </c>
      <c r="W47">
        <v>10</v>
      </c>
      <c r="X47">
        <v>9</v>
      </c>
      <c r="Y47">
        <v>7</v>
      </c>
      <c r="Z47">
        <v>279</v>
      </c>
      <c r="AA47">
        <v>65</v>
      </c>
      <c r="AB47">
        <v>82</v>
      </c>
      <c r="AC47">
        <v>49</v>
      </c>
      <c r="AD47">
        <v>109</v>
      </c>
      <c r="AE47">
        <v>68</v>
      </c>
      <c r="AF47">
        <v>360</v>
      </c>
      <c r="AG47">
        <v>185</v>
      </c>
    </row>
    <row r="48" spans="1:61">
      <c r="A48">
        <v>82</v>
      </c>
      <c r="B48">
        <v>346</v>
      </c>
      <c r="C48">
        <v>61</v>
      </c>
      <c r="D48">
        <v>20</v>
      </c>
      <c r="E48">
        <v>624</v>
      </c>
      <c r="F48">
        <v>13</v>
      </c>
      <c r="G48">
        <v>44</v>
      </c>
      <c r="H48">
        <v>11</v>
      </c>
      <c r="I48">
        <v>22</v>
      </c>
      <c r="J48">
        <v>30</v>
      </c>
      <c r="K48">
        <v>11</v>
      </c>
      <c r="L48">
        <v>27</v>
      </c>
      <c r="M48">
        <v>8</v>
      </c>
      <c r="N48">
        <v>18</v>
      </c>
      <c r="O48">
        <v>9</v>
      </c>
      <c r="P48">
        <v>5</v>
      </c>
      <c r="Q48">
        <v>5</v>
      </c>
      <c r="R48">
        <v>12</v>
      </c>
      <c r="S48">
        <v>40</v>
      </c>
      <c r="T48">
        <v>9</v>
      </c>
      <c r="U48">
        <v>12</v>
      </c>
      <c r="V48">
        <v>17</v>
      </c>
      <c r="W48">
        <v>19</v>
      </c>
      <c r="X48">
        <v>7</v>
      </c>
      <c r="Y48">
        <v>10</v>
      </c>
      <c r="Z48">
        <v>16</v>
      </c>
      <c r="AA48">
        <v>7</v>
      </c>
      <c r="AB48">
        <v>320</v>
      </c>
      <c r="AC48">
        <v>50</v>
      </c>
      <c r="AD48">
        <v>123</v>
      </c>
      <c r="AE48">
        <v>134</v>
      </c>
      <c r="AF48">
        <v>42</v>
      </c>
      <c r="AG48">
        <v>30</v>
      </c>
      <c r="AH48">
        <v>11</v>
      </c>
      <c r="AI48">
        <v>44</v>
      </c>
      <c r="AJ48">
        <v>10</v>
      </c>
      <c r="AK48">
        <v>21</v>
      </c>
      <c r="AL48">
        <v>15</v>
      </c>
      <c r="AM48">
        <v>14</v>
      </c>
      <c r="AN48">
        <v>7</v>
      </c>
    </row>
    <row r="49" spans="1:85">
      <c r="A49">
        <v>83</v>
      </c>
      <c r="B49">
        <v>96</v>
      </c>
      <c r="C49">
        <v>51</v>
      </c>
      <c r="D49">
        <v>43</v>
      </c>
      <c r="E49">
        <v>40</v>
      </c>
      <c r="F49">
        <v>32</v>
      </c>
      <c r="G49">
        <v>60</v>
      </c>
      <c r="H49">
        <v>57</v>
      </c>
      <c r="I49">
        <v>20</v>
      </c>
      <c r="J49">
        <v>22</v>
      </c>
      <c r="K49">
        <v>22</v>
      </c>
      <c r="L49">
        <v>141</v>
      </c>
      <c r="M49">
        <v>23</v>
      </c>
      <c r="N49">
        <v>31</v>
      </c>
      <c r="O49">
        <v>99</v>
      </c>
      <c r="P49">
        <v>97</v>
      </c>
      <c r="Q49">
        <v>16</v>
      </c>
      <c r="R49">
        <v>16</v>
      </c>
      <c r="S49">
        <v>38</v>
      </c>
      <c r="T49">
        <v>11</v>
      </c>
      <c r="U49">
        <v>93</v>
      </c>
      <c r="V49">
        <v>31</v>
      </c>
      <c r="W49">
        <v>11</v>
      </c>
      <c r="X49">
        <v>10</v>
      </c>
      <c r="Y49">
        <v>10</v>
      </c>
      <c r="Z49">
        <v>20</v>
      </c>
      <c r="AA49">
        <v>39</v>
      </c>
      <c r="AB49">
        <v>8</v>
      </c>
      <c r="AC49">
        <v>44</v>
      </c>
      <c r="AD49">
        <v>134</v>
      </c>
      <c r="AE49">
        <v>303</v>
      </c>
      <c r="AF49">
        <v>71</v>
      </c>
      <c r="AG49">
        <v>141</v>
      </c>
      <c r="AH49">
        <v>282</v>
      </c>
      <c r="AI49">
        <v>129</v>
      </c>
      <c r="AJ49">
        <v>144</v>
      </c>
      <c r="AK49">
        <v>43</v>
      </c>
      <c r="AL49">
        <v>25</v>
      </c>
      <c r="AM49">
        <v>235</v>
      </c>
      <c r="AN49">
        <v>145</v>
      </c>
      <c r="AO49">
        <v>53</v>
      </c>
      <c r="AP49">
        <v>48</v>
      </c>
      <c r="AQ49">
        <v>112</v>
      </c>
      <c r="AR49">
        <v>28</v>
      </c>
      <c r="AS49">
        <v>36</v>
      </c>
      <c r="AT49">
        <v>131</v>
      </c>
    </row>
    <row r="50" spans="1:85">
      <c r="A50">
        <v>84</v>
      </c>
      <c r="B50">
        <v>36</v>
      </c>
      <c r="C50">
        <v>41</v>
      </c>
      <c r="D50">
        <v>13</v>
      </c>
      <c r="E50">
        <v>54</v>
      </c>
      <c r="F50">
        <v>6303</v>
      </c>
      <c r="G50">
        <v>106</v>
      </c>
      <c r="H50">
        <v>11</v>
      </c>
      <c r="I50">
        <v>13</v>
      </c>
      <c r="J50">
        <v>18</v>
      </c>
      <c r="K50">
        <v>21</v>
      </c>
      <c r="L50">
        <v>12</v>
      </c>
      <c r="M50">
        <v>8</v>
      </c>
      <c r="N50">
        <v>13</v>
      </c>
      <c r="O50">
        <v>6</v>
      </c>
      <c r="P50">
        <v>9</v>
      </c>
      <c r="Q50">
        <v>7</v>
      </c>
      <c r="R50">
        <v>6</v>
      </c>
      <c r="S50">
        <v>22</v>
      </c>
      <c r="T50">
        <v>12</v>
      </c>
      <c r="U50">
        <v>6</v>
      </c>
      <c r="V50">
        <v>17</v>
      </c>
      <c r="W50">
        <v>16</v>
      </c>
      <c r="X50">
        <v>13</v>
      </c>
      <c r="Y50">
        <v>16</v>
      </c>
      <c r="Z50">
        <v>233</v>
      </c>
      <c r="AA50">
        <v>88</v>
      </c>
      <c r="AB50">
        <v>14</v>
      </c>
      <c r="AC50">
        <v>18</v>
      </c>
      <c r="AD50">
        <v>340</v>
      </c>
      <c r="AE50">
        <v>14</v>
      </c>
      <c r="AF50">
        <v>26</v>
      </c>
      <c r="AG50">
        <v>22</v>
      </c>
      <c r="AH50">
        <v>11</v>
      </c>
      <c r="AI50">
        <v>28</v>
      </c>
      <c r="AJ50">
        <v>31</v>
      </c>
      <c r="AK50">
        <v>18</v>
      </c>
      <c r="AL50">
        <v>15</v>
      </c>
      <c r="AM50">
        <v>5</v>
      </c>
      <c r="AN50">
        <v>598</v>
      </c>
      <c r="AO50">
        <v>162</v>
      </c>
      <c r="AP50">
        <v>62</v>
      </c>
      <c r="AQ50">
        <v>107</v>
      </c>
      <c r="AR50">
        <v>71</v>
      </c>
      <c r="AS50">
        <v>10</v>
      </c>
      <c r="AT50">
        <v>88</v>
      </c>
      <c r="AU50">
        <v>12</v>
      </c>
      <c r="AV50">
        <v>65</v>
      </c>
      <c r="AW50">
        <v>14</v>
      </c>
    </row>
    <row r="51" spans="1:85">
      <c r="A51">
        <v>85</v>
      </c>
      <c r="B51">
        <v>54</v>
      </c>
      <c r="C51">
        <v>35</v>
      </c>
      <c r="D51">
        <v>47</v>
      </c>
      <c r="E51">
        <v>368</v>
      </c>
      <c r="F51">
        <v>37</v>
      </c>
      <c r="G51">
        <v>20</v>
      </c>
      <c r="H51">
        <v>20</v>
      </c>
      <c r="I51">
        <v>17</v>
      </c>
      <c r="J51">
        <v>30</v>
      </c>
      <c r="K51">
        <v>18</v>
      </c>
      <c r="L51">
        <v>36</v>
      </c>
      <c r="M51">
        <v>29</v>
      </c>
      <c r="N51">
        <v>14</v>
      </c>
      <c r="O51">
        <v>8</v>
      </c>
      <c r="P51">
        <v>34</v>
      </c>
      <c r="Q51">
        <v>13</v>
      </c>
      <c r="R51">
        <v>47</v>
      </c>
      <c r="S51">
        <v>14</v>
      </c>
      <c r="T51">
        <v>196</v>
      </c>
      <c r="U51">
        <v>20</v>
      </c>
      <c r="V51">
        <v>22</v>
      </c>
      <c r="W51">
        <v>28</v>
      </c>
      <c r="X51">
        <v>27</v>
      </c>
      <c r="Y51">
        <v>7</v>
      </c>
      <c r="Z51">
        <v>427</v>
      </c>
      <c r="AA51">
        <v>62</v>
      </c>
      <c r="AB51">
        <v>117</v>
      </c>
      <c r="AC51">
        <v>133</v>
      </c>
      <c r="AD51">
        <v>478</v>
      </c>
      <c r="AE51">
        <v>55</v>
      </c>
      <c r="AF51">
        <v>203</v>
      </c>
      <c r="AG51">
        <v>125</v>
      </c>
    </row>
    <row r="52" spans="1:85">
      <c r="A52">
        <v>86</v>
      </c>
      <c r="B52">
        <v>28</v>
      </c>
      <c r="C52">
        <v>11</v>
      </c>
      <c r="D52">
        <v>22</v>
      </c>
      <c r="E52">
        <v>64</v>
      </c>
      <c r="F52">
        <v>36</v>
      </c>
      <c r="G52">
        <v>51</v>
      </c>
      <c r="H52">
        <v>9</v>
      </c>
      <c r="I52">
        <v>17</v>
      </c>
      <c r="J52">
        <v>10</v>
      </c>
      <c r="K52">
        <v>8</v>
      </c>
      <c r="L52">
        <v>9</v>
      </c>
      <c r="M52">
        <v>5</v>
      </c>
      <c r="N52">
        <v>22</v>
      </c>
      <c r="O52">
        <v>8</v>
      </c>
      <c r="P52">
        <v>6</v>
      </c>
      <c r="Q52">
        <v>12</v>
      </c>
      <c r="R52">
        <v>20</v>
      </c>
      <c r="S52">
        <v>31</v>
      </c>
      <c r="T52">
        <v>8</v>
      </c>
      <c r="U52">
        <v>14</v>
      </c>
      <c r="V52">
        <v>6</v>
      </c>
      <c r="W52">
        <v>72</v>
      </c>
      <c r="X52">
        <v>61</v>
      </c>
      <c r="Y52">
        <v>57</v>
      </c>
      <c r="Z52">
        <v>2</v>
      </c>
      <c r="AA52">
        <v>47</v>
      </c>
      <c r="AB52">
        <v>124</v>
      </c>
      <c r="AC52">
        <v>55</v>
      </c>
      <c r="AD52">
        <v>72</v>
      </c>
      <c r="AE52">
        <v>62</v>
      </c>
      <c r="AF52">
        <v>57</v>
      </c>
    </row>
    <row r="53" spans="1:85">
      <c r="A53">
        <v>87</v>
      </c>
      <c r="B53">
        <v>80</v>
      </c>
      <c r="C53">
        <v>31</v>
      </c>
      <c r="D53">
        <v>25</v>
      </c>
      <c r="E53">
        <v>75</v>
      </c>
      <c r="F53">
        <v>24</v>
      </c>
      <c r="G53">
        <v>17</v>
      </c>
      <c r="H53">
        <v>17</v>
      </c>
      <c r="I53">
        <v>13</v>
      </c>
      <c r="J53">
        <v>15</v>
      </c>
      <c r="K53">
        <v>6</v>
      </c>
      <c r="L53">
        <v>8</v>
      </c>
      <c r="M53">
        <v>8</v>
      </c>
      <c r="N53">
        <v>24</v>
      </c>
      <c r="O53">
        <v>34</v>
      </c>
      <c r="P53">
        <v>13</v>
      </c>
      <c r="Q53">
        <v>11</v>
      </c>
      <c r="R53">
        <v>20</v>
      </c>
      <c r="S53">
        <v>5</v>
      </c>
      <c r="T53">
        <v>66</v>
      </c>
      <c r="U53">
        <v>13</v>
      </c>
      <c r="V53">
        <v>14</v>
      </c>
      <c r="W53">
        <v>8</v>
      </c>
      <c r="X53">
        <v>127</v>
      </c>
      <c r="Y53">
        <v>78</v>
      </c>
      <c r="Z53">
        <v>80</v>
      </c>
      <c r="AA53">
        <v>66</v>
      </c>
      <c r="AB53">
        <v>131</v>
      </c>
      <c r="AC53">
        <v>101</v>
      </c>
      <c r="AD53">
        <v>68</v>
      </c>
      <c r="AE53">
        <v>52</v>
      </c>
      <c r="AF53">
        <v>190</v>
      </c>
      <c r="AG53">
        <v>184</v>
      </c>
      <c r="AH53">
        <v>106</v>
      </c>
      <c r="AI53">
        <v>9</v>
      </c>
      <c r="AJ53">
        <v>6</v>
      </c>
      <c r="AK53">
        <v>88</v>
      </c>
      <c r="AL53">
        <v>100</v>
      </c>
    </row>
    <row r="54" spans="1:85">
      <c r="B54">
        <f>AVERAGE(B1:B53)</f>
        <v>111.11320754716981</v>
      </c>
      <c r="C54">
        <f t="shared" ref="C54:G54" si="0">AVERAGE(C1:C53)</f>
        <v>43.96153846153846</v>
      </c>
      <c r="D54">
        <f t="shared" si="0"/>
        <v>44.42307692307692</v>
      </c>
      <c r="E54">
        <f t="shared" si="0"/>
        <v>69.192307692307693</v>
      </c>
      <c r="F54">
        <f t="shared" si="0"/>
        <v>163.88461538461539</v>
      </c>
      <c r="G54">
        <f t="shared" si="0"/>
        <v>48.942307692307693</v>
      </c>
      <c r="H54">
        <f t="shared" ref="H54" si="1">AVERAGE(H1:H53)</f>
        <v>40.096153846153847</v>
      </c>
      <c r="I54">
        <f t="shared" ref="I54" si="2">AVERAGE(I1:I53)</f>
        <v>38.057692307692307</v>
      </c>
      <c r="J54">
        <f t="shared" ref="J54" si="3">AVERAGE(J1:J53)</f>
        <v>33.653846153846153</v>
      </c>
      <c r="K54">
        <f t="shared" ref="K54:L54" si="4">AVERAGE(K1:K53)</f>
        <v>30.846153846153847</v>
      </c>
      <c r="L54">
        <f t="shared" si="4"/>
        <v>26.384615384615383</v>
      </c>
      <c r="M54">
        <f t="shared" ref="M54" si="5">AVERAGE(M1:M53)</f>
        <v>27.615384615384617</v>
      </c>
      <c r="N54">
        <f t="shared" ref="N54" si="6">AVERAGE(N1:N53)</f>
        <v>66.803921568627445</v>
      </c>
      <c r="O54">
        <f t="shared" ref="O54" si="7">AVERAGE(O1:O53)</f>
        <v>35.137254901960787</v>
      </c>
      <c r="P54">
        <f t="shared" ref="P54:Q54" si="8">AVERAGE(P1:P53)</f>
        <v>31.235294117647058</v>
      </c>
      <c r="Q54">
        <f t="shared" si="8"/>
        <v>37.431372549019606</v>
      </c>
      <c r="R54">
        <f t="shared" ref="R54" si="9">AVERAGE(R1:R53)</f>
        <v>32.941176470588232</v>
      </c>
      <c r="S54">
        <f t="shared" ref="S54" si="10">AVERAGE(S1:S53)</f>
        <v>45.04</v>
      </c>
      <c r="T54">
        <f t="shared" ref="T54" si="11">AVERAGE(T1:T53)</f>
        <v>43.78</v>
      </c>
      <c r="U54">
        <f t="shared" ref="U54:V54" si="12">AVERAGE(U1:U53)</f>
        <v>50.98</v>
      </c>
      <c r="V54">
        <f t="shared" si="12"/>
        <v>41.68</v>
      </c>
      <c r="W54">
        <f t="shared" ref="W54" si="13">AVERAGE(W1:W53)</f>
        <v>54.25</v>
      </c>
      <c r="X54">
        <f t="shared" ref="X54" si="14">AVERAGE(X1:X53)</f>
        <v>90.770833333333329</v>
      </c>
      <c r="Y54">
        <f t="shared" ref="Y54" si="15">AVERAGE(Y1:Y53)</f>
        <v>65.0625</v>
      </c>
      <c r="Z54">
        <f t="shared" ref="Z54:AA54" si="16">AVERAGE(Z1:Z53)</f>
        <v>63.673913043478258</v>
      </c>
      <c r="AA54">
        <f t="shared" si="16"/>
        <v>73.295454545454547</v>
      </c>
      <c r="AB54">
        <f t="shared" ref="AB54" si="17">AVERAGE(AB1:AB53)</f>
        <v>71.714285714285708</v>
      </c>
      <c r="AC54">
        <f t="shared" ref="AC54" si="18">AVERAGE(AC1:AC53)</f>
        <v>106.075</v>
      </c>
      <c r="AD54">
        <f t="shared" ref="AD54" si="19">AVERAGE(AD1:AD53)</f>
        <v>81.599999999999994</v>
      </c>
      <c r="AE54">
        <f t="shared" ref="AE54:AF54" si="20">AVERAGE(AE1:AE53)</f>
        <v>95.55263157894737</v>
      </c>
      <c r="AF54">
        <f t="shared" si="20"/>
        <v>90.212121212121218</v>
      </c>
      <c r="AG54">
        <f t="shared" ref="AG54" si="21">AVERAGE(AG1:AG53)</f>
        <v>72.967741935483872</v>
      </c>
      <c r="AH54">
        <f t="shared" ref="AH54" si="22">AVERAGE(AH1:AH53)</f>
        <v>64.222222222222229</v>
      </c>
      <c r="AI54">
        <f t="shared" ref="AI54" si="23">AVERAGE(AI1:AI53)</f>
        <v>133</v>
      </c>
      <c r="AJ54">
        <f t="shared" ref="AJ54:AK54" si="24">AVERAGE(AJ1:AJ53)</f>
        <v>58.888888888888886</v>
      </c>
      <c r="AK54">
        <f t="shared" si="24"/>
        <v>71.541666666666671</v>
      </c>
      <c r="AL54">
        <f t="shared" ref="AL54" si="25">AVERAGE(AL1:AL53)</f>
        <v>130.61904761904762</v>
      </c>
      <c r="AM54">
        <f t="shared" ref="AM54" si="26">AVERAGE(AM1:AM53)</f>
        <v>85.222222222222229</v>
      </c>
      <c r="AN54">
        <f t="shared" ref="AN54" si="27">AVERAGE(AN1:AN53)</f>
        <v>96</v>
      </c>
      <c r="AO54">
        <f t="shared" ref="AO54:AP54" si="28">AVERAGE(AO1:AO53)</f>
        <v>58.53846153846154</v>
      </c>
      <c r="AP54">
        <f t="shared" si="28"/>
        <v>113.07692307692308</v>
      </c>
      <c r="AQ54">
        <f t="shared" ref="AQ54" si="29">AVERAGE(AQ1:AQ53)</f>
        <v>56.583333333333336</v>
      </c>
      <c r="AR54">
        <f t="shared" ref="AR54" si="30">AVERAGE(AR1:AR53)</f>
        <v>32.909090909090907</v>
      </c>
      <c r="AS54">
        <f t="shared" ref="AS54" si="31">AVERAGE(AS1:AS53)</f>
        <v>31.90909090909091</v>
      </c>
      <c r="AT54">
        <f t="shared" ref="AT54:AU54" si="32">AVERAGE(AT1:AT53)</f>
        <v>81.7</v>
      </c>
      <c r="AU54">
        <f t="shared" si="32"/>
        <v>51.25</v>
      </c>
      <c r="AV54">
        <f t="shared" ref="AV54" si="33">AVERAGE(AV1:AV53)</f>
        <v>189.25</v>
      </c>
      <c r="AW54">
        <f t="shared" ref="AW54" si="34">AVERAGE(AW1:AW53)</f>
        <v>81.166666666666671</v>
      </c>
      <c r="AX54">
        <f t="shared" ref="AX54" si="35">AVERAGE(AX1:AX53)</f>
        <v>98.8</v>
      </c>
      <c r="AY54">
        <f t="shared" ref="AY54:AZ54" si="36">AVERAGE(AY1:AY53)</f>
        <v>396.4</v>
      </c>
      <c r="AZ54">
        <f t="shared" si="36"/>
        <v>71.400000000000006</v>
      </c>
      <c r="BA54">
        <f t="shared" ref="BA54" si="37">AVERAGE(BA1:BA53)</f>
        <v>98</v>
      </c>
      <c r="BB54">
        <f t="shared" ref="BB54" si="38">AVERAGE(BB1:BB53)</f>
        <v>99.8</v>
      </c>
      <c r="BC54">
        <f t="shared" ref="BC54" si="39">AVERAGE(BC1:BC53)</f>
        <v>82</v>
      </c>
      <c r="BD54">
        <f t="shared" ref="BD54:BE54" si="40">AVERAGE(BD1:BD53)</f>
        <v>60.2</v>
      </c>
      <c r="BE54">
        <f t="shared" si="40"/>
        <v>60</v>
      </c>
      <c r="BF54">
        <f t="shared" ref="BF54" si="41">AVERAGE(BF1:BF53)</f>
        <v>39.6</v>
      </c>
      <c r="BG54">
        <f t="shared" ref="BG54" si="42">AVERAGE(BG1:BG53)</f>
        <v>50.2</v>
      </c>
      <c r="BH54">
        <f t="shared" ref="BH54" si="43">AVERAGE(BH1:BH53)</f>
        <v>27.666666666666668</v>
      </c>
      <c r="BI54">
        <f t="shared" ref="BI54:BJ54" si="44">AVERAGE(BI1:BI53)</f>
        <v>23.666666666666668</v>
      </c>
      <c r="BJ54">
        <f t="shared" si="44"/>
        <v>50.5</v>
      </c>
      <c r="BK54">
        <f t="shared" ref="BK54" si="45">AVERAGE(BK1:BK53)</f>
        <v>84.5</v>
      </c>
      <c r="BL54">
        <f>AVERAGE(BL1:BL53)</f>
        <v>80.5</v>
      </c>
      <c r="BM54">
        <f t="shared" ref="BM54" si="46">AVERAGE(BM1:BM53)</f>
        <v>35.5</v>
      </c>
      <c r="BN54">
        <f t="shared" ref="BN54" si="47">AVERAGE(BN1:BN53)</f>
        <v>53.5</v>
      </c>
      <c r="BO54">
        <f t="shared" ref="BO54" si="48">AVERAGE(BO1:BO53)</f>
        <v>36</v>
      </c>
      <c r="BP54">
        <f t="shared" ref="BP54" si="49">AVERAGE(BP1:BP53)</f>
        <v>53</v>
      </c>
      <c r="BQ54">
        <f t="shared" ref="BQ54" si="50">AVERAGE(BQ1:BQ53)</f>
        <v>9</v>
      </c>
      <c r="BR54">
        <f t="shared" ref="BR54" si="51">AVERAGE(BR1:BR53)</f>
        <v>29.5</v>
      </c>
      <c r="BS54">
        <f t="shared" ref="BS54" si="52">AVERAGE(BS1:BS53)</f>
        <v>16.5</v>
      </c>
      <c r="BT54">
        <f t="shared" ref="BT54" si="53">AVERAGE(BT1:BT53)</f>
        <v>23</v>
      </c>
      <c r="BU54">
        <f t="shared" ref="BU54" si="54">AVERAGE(BU1:BU53)</f>
        <v>63.5</v>
      </c>
      <c r="BV54">
        <f t="shared" ref="BV54" si="55">AVERAGE(BV1:BV53)</f>
        <v>13.5</v>
      </c>
      <c r="BW54">
        <f t="shared" ref="BW54" si="56">AVERAGE(BW1:BW53)</f>
        <v>62.5</v>
      </c>
      <c r="BX54">
        <f t="shared" ref="BX54" si="57">AVERAGE(BX1:BX53)</f>
        <v>10.5</v>
      </c>
      <c r="BY54">
        <f t="shared" ref="BY54" si="58">AVERAGE(BY1:BY53)</f>
        <v>155.5</v>
      </c>
      <c r="BZ54">
        <f t="shared" ref="BZ54" si="59">AVERAGE(BZ1:BZ53)</f>
        <v>262</v>
      </c>
      <c r="CA54">
        <f>AVERAGE(CA1:CA53)</f>
        <v>88</v>
      </c>
      <c r="CB54">
        <f t="shared" ref="CB54" si="60">AVERAGE(CB1:CB53)</f>
        <v>39</v>
      </c>
      <c r="CC54">
        <f t="shared" ref="CC54" si="61">AVERAGE(CC1:CC53)</f>
        <v>38</v>
      </c>
      <c r="CD54">
        <f t="shared" ref="CD54" si="62">AVERAGE(CD1:CD53)</f>
        <v>32</v>
      </c>
      <c r="CE54">
        <f t="shared" ref="CE54" si="63">AVERAGE(CE1:CE53)</f>
        <v>140</v>
      </c>
      <c r="CF54">
        <f t="shared" ref="CF54" si="64">AVERAGE(CF1:CF53)</f>
        <v>55</v>
      </c>
      <c r="CG54">
        <f t="shared" ref="CG54" si="65">AVERAGE(CG1:CG53)</f>
        <v>18</v>
      </c>
    </row>
    <row r="55" spans="1:85">
      <c r="B55">
        <f>AVERAGE(B54:S54)</f>
        <v>51.486662192372506</v>
      </c>
    </row>
    <row r="57" spans="1:85">
      <c r="B57">
        <v>175.75</v>
      </c>
      <c r="C57">
        <f>TTEST(B54:Q54,B57:B73,2,2)</f>
        <v>0.81251775052341668</v>
      </c>
      <c r="D57">
        <v>111.1132075</v>
      </c>
      <c r="E57">
        <v>43.96153846</v>
      </c>
      <c r="F57">
        <v>43.96153846</v>
      </c>
      <c r="G57">
        <v>69.192307690000007</v>
      </c>
      <c r="H57">
        <v>163.8846154</v>
      </c>
      <c r="I57">
        <v>48.94230769</v>
      </c>
      <c r="J57">
        <v>40.09615385</v>
      </c>
      <c r="K57">
        <v>38.05769231</v>
      </c>
      <c r="L57">
        <v>33.65384615</v>
      </c>
      <c r="M57">
        <v>30.84615385</v>
      </c>
      <c r="N57">
        <v>26.38461538</v>
      </c>
      <c r="O57">
        <v>27.61538462</v>
      </c>
      <c r="P57">
        <v>66.80392157</v>
      </c>
      <c r="Q57">
        <v>35.137254900000002</v>
      </c>
      <c r="R57">
        <v>31.235294119999999</v>
      </c>
      <c r="S57">
        <v>37.431372549999999</v>
      </c>
    </row>
    <row r="58" spans="1:85">
      <c r="B58">
        <v>87.4</v>
      </c>
      <c r="D58">
        <v>43.96153846</v>
      </c>
    </row>
    <row r="59" spans="1:85">
      <c r="B59">
        <v>75.333333330000002</v>
      </c>
      <c r="D59">
        <v>43.96153846</v>
      </c>
    </row>
    <row r="60" spans="1:85">
      <c r="B60">
        <v>55.6</v>
      </c>
      <c r="D60">
        <v>69.192307690000007</v>
      </c>
    </row>
    <row r="61" spans="1:85">
      <c r="B61">
        <v>69.933333329999996</v>
      </c>
      <c r="D61">
        <v>163.8846154</v>
      </c>
    </row>
    <row r="62" spans="1:85">
      <c r="B62">
        <v>41.714285709999999</v>
      </c>
      <c r="D62">
        <v>48.94230769</v>
      </c>
    </row>
    <row r="63" spans="1:85">
      <c r="B63">
        <v>58.428571429999998</v>
      </c>
      <c r="D63">
        <v>40.09615385</v>
      </c>
    </row>
    <row r="64" spans="1:85">
      <c r="B64">
        <v>37.642857139999997</v>
      </c>
      <c r="D64">
        <v>38.05769231</v>
      </c>
    </row>
    <row r="65" spans="2:4">
      <c r="B65">
        <v>31.071428569999998</v>
      </c>
      <c r="D65">
        <v>33.65384615</v>
      </c>
    </row>
    <row r="66" spans="2:4">
      <c r="B66">
        <v>26.15384615</v>
      </c>
      <c r="D66">
        <v>30.84615385</v>
      </c>
    </row>
    <row r="67" spans="2:4">
      <c r="B67">
        <v>21.84615385</v>
      </c>
      <c r="D67">
        <v>26.38461538</v>
      </c>
    </row>
    <row r="68" spans="2:4">
      <c r="B68">
        <v>30.15384615</v>
      </c>
      <c r="D68">
        <v>27.61538462</v>
      </c>
    </row>
    <row r="69" spans="2:4">
      <c r="B69">
        <v>27.46153846</v>
      </c>
      <c r="D69">
        <v>66.80392157</v>
      </c>
    </row>
    <row r="70" spans="2:4">
      <c r="B70">
        <v>27.07692308</v>
      </c>
      <c r="D70">
        <v>35.137254900000002</v>
      </c>
    </row>
    <row r="71" spans="2:4">
      <c r="B71">
        <v>34.07692308</v>
      </c>
      <c r="D71">
        <v>31.235294119999999</v>
      </c>
    </row>
    <row r="72" spans="2:4">
      <c r="B72">
        <v>23.92307692</v>
      </c>
      <c r="D72">
        <v>37.431372549999999</v>
      </c>
    </row>
    <row r="73" spans="2:4">
      <c r="B73">
        <v>25.38461538</v>
      </c>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44"/>
  <sheetViews>
    <sheetView topLeftCell="A14" workbookViewId="0">
      <selection activeCell="D28" sqref="D28"/>
    </sheetView>
  </sheetViews>
  <sheetFormatPr baseColWidth="10" defaultColWidth="11" defaultRowHeight="15" x14ac:dyDescent="0"/>
  <sheetData>
    <row r="1" spans="1:32">
      <c r="A1">
        <v>7</v>
      </c>
      <c r="B1">
        <v>1003</v>
      </c>
      <c r="C1">
        <v>21</v>
      </c>
      <c r="D1">
        <v>89</v>
      </c>
      <c r="E1" s="2">
        <v>25</v>
      </c>
      <c r="F1" s="2">
        <v>33</v>
      </c>
      <c r="G1">
        <v>26</v>
      </c>
      <c r="H1">
        <v>423</v>
      </c>
      <c r="I1">
        <v>34</v>
      </c>
      <c r="J1">
        <v>124</v>
      </c>
      <c r="K1">
        <v>35</v>
      </c>
      <c r="L1">
        <v>16</v>
      </c>
      <c r="M1">
        <v>37</v>
      </c>
      <c r="N1">
        <v>427</v>
      </c>
      <c r="O1">
        <v>56</v>
      </c>
      <c r="P1">
        <v>31</v>
      </c>
      <c r="Q1">
        <v>61</v>
      </c>
      <c r="R1">
        <v>34</v>
      </c>
      <c r="S1">
        <v>66</v>
      </c>
      <c r="T1">
        <v>36</v>
      </c>
      <c r="U1">
        <v>67</v>
      </c>
      <c r="V1">
        <v>231</v>
      </c>
      <c r="W1">
        <v>69</v>
      </c>
      <c r="X1">
        <v>32</v>
      </c>
      <c r="Y1">
        <v>70</v>
      </c>
      <c r="Z1">
        <v>141</v>
      </c>
      <c r="AA1">
        <v>71</v>
      </c>
      <c r="AB1">
        <v>29</v>
      </c>
      <c r="AC1">
        <v>76</v>
      </c>
      <c r="AD1">
        <v>95</v>
      </c>
      <c r="AE1">
        <v>77</v>
      </c>
      <c r="AF1">
        <v>25</v>
      </c>
    </row>
    <row r="2" spans="1:32">
      <c r="A2">
        <v>7</v>
      </c>
      <c r="B2">
        <v>70</v>
      </c>
      <c r="C2">
        <v>21</v>
      </c>
      <c r="D2">
        <v>29</v>
      </c>
      <c r="E2" s="2">
        <v>25</v>
      </c>
      <c r="F2" s="2">
        <v>25</v>
      </c>
      <c r="G2">
        <v>26</v>
      </c>
      <c r="H2">
        <v>38</v>
      </c>
      <c r="I2">
        <v>34</v>
      </c>
      <c r="J2">
        <v>13</v>
      </c>
      <c r="K2">
        <v>35</v>
      </c>
      <c r="L2">
        <v>23</v>
      </c>
      <c r="M2">
        <v>37</v>
      </c>
      <c r="N2">
        <v>67</v>
      </c>
      <c r="O2">
        <v>56</v>
      </c>
      <c r="P2">
        <v>108</v>
      </c>
      <c r="Q2">
        <v>61</v>
      </c>
      <c r="R2">
        <v>81</v>
      </c>
      <c r="S2">
        <v>66</v>
      </c>
      <c r="T2">
        <v>23</v>
      </c>
      <c r="W2">
        <v>69</v>
      </c>
      <c r="X2">
        <v>48</v>
      </c>
      <c r="Y2">
        <v>70</v>
      </c>
      <c r="Z2">
        <v>104</v>
      </c>
      <c r="AA2">
        <v>71</v>
      </c>
      <c r="AB2">
        <v>67</v>
      </c>
      <c r="AC2">
        <v>76</v>
      </c>
      <c r="AD2">
        <v>639</v>
      </c>
      <c r="AE2">
        <v>77</v>
      </c>
      <c r="AF2">
        <v>15</v>
      </c>
    </row>
    <row r="3" spans="1:32">
      <c r="A3">
        <v>7</v>
      </c>
      <c r="B3">
        <v>26</v>
      </c>
      <c r="C3">
        <v>21</v>
      </c>
      <c r="D3">
        <v>20</v>
      </c>
      <c r="E3" s="2">
        <v>25</v>
      </c>
      <c r="F3" s="2">
        <v>126</v>
      </c>
      <c r="G3">
        <v>26</v>
      </c>
      <c r="H3">
        <v>104</v>
      </c>
      <c r="I3">
        <v>34</v>
      </c>
      <c r="J3">
        <v>4</v>
      </c>
      <c r="K3">
        <v>35</v>
      </c>
      <c r="L3">
        <v>23</v>
      </c>
      <c r="M3">
        <v>37</v>
      </c>
      <c r="N3">
        <v>18</v>
      </c>
      <c r="O3">
        <v>56</v>
      </c>
      <c r="P3">
        <v>123</v>
      </c>
      <c r="Q3">
        <v>61</v>
      </c>
      <c r="R3">
        <v>90</v>
      </c>
      <c r="S3">
        <v>66</v>
      </c>
      <c r="T3">
        <v>40</v>
      </c>
      <c r="W3">
        <v>69</v>
      </c>
      <c r="X3">
        <v>136</v>
      </c>
      <c r="Y3">
        <v>70</v>
      </c>
      <c r="Z3">
        <v>30</v>
      </c>
      <c r="AA3">
        <v>71</v>
      </c>
      <c r="AB3">
        <v>34</v>
      </c>
      <c r="AC3">
        <v>76</v>
      </c>
      <c r="AD3">
        <v>54</v>
      </c>
      <c r="AE3">
        <v>77</v>
      </c>
      <c r="AF3">
        <v>13</v>
      </c>
    </row>
    <row r="4" spans="1:32">
      <c r="A4">
        <v>7</v>
      </c>
      <c r="B4">
        <v>11</v>
      </c>
      <c r="C4">
        <v>21</v>
      </c>
      <c r="D4">
        <v>17</v>
      </c>
      <c r="E4" s="2">
        <v>25</v>
      </c>
      <c r="F4" s="2">
        <v>28</v>
      </c>
      <c r="G4">
        <v>26</v>
      </c>
      <c r="H4">
        <v>123</v>
      </c>
      <c r="I4">
        <v>34</v>
      </c>
      <c r="J4">
        <v>149</v>
      </c>
      <c r="K4">
        <v>35</v>
      </c>
      <c r="L4">
        <v>16</v>
      </c>
      <c r="O4">
        <v>56</v>
      </c>
      <c r="P4">
        <v>51</v>
      </c>
      <c r="Q4">
        <v>61</v>
      </c>
      <c r="R4">
        <v>50</v>
      </c>
      <c r="S4">
        <v>66</v>
      </c>
      <c r="T4">
        <v>18</v>
      </c>
      <c r="W4">
        <v>69</v>
      </c>
      <c r="X4">
        <v>26</v>
      </c>
      <c r="Y4">
        <v>70</v>
      </c>
      <c r="Z4">
        <v>65</v>
      </c>
      <c r="AA4">
        <v>71</v>
      </c>
      <c r="AB4">
        <v>36</v>
      </c>
      <c r="AC4">
        <v>76</v>
      </c>
      <c r="AD4">
        <v>33</v>
      </c>
      <c r="AE4">
        <v>77</v>
      </c>
      <c r="AF4">
        <v>15</v>
      </c>
    </row>
    <row r="5" spans="1:32">
      <c r="A5">
        <v>7</v>
      </c>
      <c r="B5">
        <v>164</v>
      </c>
      <c r="C5">
        <v>21</v>
      </c>
      <c r="D5">
        <v>24</v>
      </c>
      <c r="E5" s="2">
        <v>25</v>
      </c>
      <c r="F5" s="2">
        <v>522</v>
      </c>
      <c r="G5">
        <v>26</v>
      </c>
      <c r="H5">
        <v>32</v>
      </c>
      <c r="I5">
        <v>34</v>
      </c>
      <c r="J5">
        <v>26</v>
      </c>
      <c r="K5">
        <v>35</v>
      </c>
      <c r="L5">
        <v>17</v>
      </c>
      <c r="O5">
        <v>56</v>
      </c>
      <c r="P5">
        <v>125</v>
      </c>
      <c r="Q5">
        <v>61</v>
      </c>
      <c r="R5">
        <v>35</v>
      </c>
      <c r="S5">
        <v>66</v>
      </c>
      <c r="T5">
        <v>8</v>
      </c>
      <c r="W5">
        <v>69</v>
      </c>
      <c r="X5">
        <v>24</v>
      </c>
      <c r="Y5">
        <v>70</v>
      </c>
      <c r="Z5">
        <v>52</v>
      </c>
      <c r="AA5">
        <v>71</v>
      </c>
      <c r="AB5">
        <v>24</v>
      </c>
      <c r="AC5">
        <v>76</v>
      </c>
      <c r="AD5">
        <v>16</v>
      </c>
      <c r="AE5">
        <v>77</v>
      </c>
      <c r="AF5">
        <v>18</v>
      </c>
    </row>
    <row r="6" spans="1:32">
      <c r="A6">
        <v>7</v>
      </c>
      <c r="B6">
        <v>72</v>
      </c>
      <c r="C6">
        <v>21</v>
      </c>
      <c r="D6">
        <v>28</v>
      </c>
      <c r="F6">
        <v>522</v>
      </c>
      <c r="G6">
        <v>26</v>
      </c>
      <c r="H6">
        <v>30</v>
      </c>
      <c r="K6">
        <v>35</v>
      </c>
      <c r="L6">
        <v>19</v>
      </c>
      <c r="O6">
        <v>56</v>
      </c>
      <c r="P6">
        <v>57</v>
      </c>
      <c r="Q6">
        <v>61</v>
      </c>
      <c r="R6">
        <v>34</v>
      </c>
      <c r="S6">
        <v>66</v>
      </c>
      <c r="T6">
        <v>10</v>
      </c>
      <c r="W6">
        <v>69</v>
      </c>
      <c r="X6">
        <v>21</v>
      </c>
      <c r="Y6">
        <v>70</v>
      </c>
      <c r="Z6">
        <v>26</v>
      </c>
      <c r="AA6">
        <v>71</v>
      </c>
      <c r="AB6">
        <v>26</v>
      </c>
      <c r="AC6">
        <v>76</v>
      </c>
      <c r="AD6">
        <v>41</v>
      </c>
      <c r="AE6">
        <v>77</v>
      </c>
      <c r="AF6">
        <v>12</v>
      </c>
    </row>
    <row r="7" spans="1:32">
      <c r="A7">
        <v>7</v>
      </c>
      <c r="B7">
        <v>44</v>
      </c>
      <c r="C7">
        <v>21</v>
      </c>
      <c r="D7">
        <v>9</v>
      </c>
      <c r="G7">
        <v>26</v>
      </c>
      <c r="H7">
        <v>30</v>
      </c>
      <c r="K7">
        <v>35</v>
      </c>
      <c r="L7">
        <v>10</v>
      </c>
      <c r="O7">
        <v>56</v>
      </c>
      <c r="P7">
        <v>50</v>
      </c>
      <c r="Q7">
        <v>61</v>
      </c>
      <c r="R7">
        <v>30</v>
      </c>
      <c r="S7">
        <v>66</v>
      </c>
      <c r="T7">
        <v>11</v>
      </c>
      <c r="W7">
        <v>69</v>
      </c>
      <c r="X7">
        <v>26</v>
      </c>
      <c r="Y7">
        <v>70</v>
      </c>
      <c r="Z7">
        <v>31</v>
      </c>
      <c r="AA7">
        <v>71</v>
      </c>
      <c r="AB7">
        <v>18</v>
      </c>
      <c r="AC7">
        <v>76</v>
      </c>
      <c r="AD7">
        <v>16</v>
      </c>
      <c r="AE7">
        <v>77</v>
      </c>
      <c r="AF7">
        <v>16</v>
      </c>
    </row>
    <row r="8" spans="1:32">
      <c r="A8">
        <v>7</v>
      </c>
      <c r="B8">
        <v>16</v>
      </c>
      <c r="C8">
        <v>21</v>
      </c>
      <c r="D8">
        <v>11</v>
      </c>
      <c r="G8">
        <v>26</v>
      </c>
      <c r="H8">
        <v>21</v>
      </c>
      <c r="K8">
        <v>35</v>
      </c>
      <c r="L8">
        <v>7</v>
      </c>
      <c r="O8">
        <v>56</v>
      </c>
      <c r="P8">
        <v>65</v>
      </c>
      <c r="Q8">
        <v>61</v>
      </c>
      <c r="R8">
        <v>28</v>
      </c>
      <c r="S8">
        <v>66</v>
      </c>
      <c r="T8">
        <v>8</v>
      </c>
      <c r="W8">
        <v>69</v>
      </c>
      <c r="X8">
        <v>19</v>
      </c>
      <c r="Y8">
        <v>70</v>
      </c>
      <c r="Z8">
        <v>25</v>
      </c>
      <c r="AA8">
        <v>71</v>
      </c>
      <c r="AB8">
        <v>19</v>
      </c>
      <c r="AC8">
        <v>76</v>
      </c>
      <c r="AD8">
        <v>15</v>
      </c>
      <c r="AE8">
        <v>77</v>
      </c>
      <c r="AF8">
        <v>11</v>
      </c>
    </row>
    <row r="9" spans="1:32">
      <c r="A9">
        <v>7</v>
      </c>
      <c r="B9">
        <v>20</v>
      </c>
      <c r="C9">
        <v>21</v>
      </c>
      <c r="D9">
        <v>15</v>
      </c>
      <c r="G9">
        <v>26</v>
      </c>
      <c r="H9">
        <v>27</v>
      </c>
      <c r="K9">
        <v>35</v>
      </c>
      <c r="L9">
        <v>7</v>
      </c>
      <c r="O9">
        <v>56</v>
      </c>
      <c r="P9">
        <v>36</v>
      </c>
      <c r="Q9">
        <v>61</v>
      </c>
      <c r="R9">
        <v>81</v>
      </c>
      <c r="S9">
        <v>66</v>
      </c>
      <c r="T9">
        <v>12</v>
      </c>
      <c r="W9">
        <v>69</v>
      </c>
      <c r="X9">
        <v>21</v>
      </c>
      <c r="Y9">
        <v>70</v>
      </c>
      <c r="Z9">
        <v>15</v>
      </c>
      <c r="AA9">
        <v>71</v>
      </c>
      <c r="AB9">
        <v>15</v>
      </c>
      <c r="AC9">
        <v>76</v>
      </c>
      <c r="AD9">
        <v>13</v>
      </c>
      <c r="AE9">
        <v>77</v>
      </c>
      <c r="AF9">
        <v>28</v>
      </c>
    </row>
    <row r="10" spans="1:32">
      <c r="A10">
        <v>7</v>
      </c>
      <c r="B10">
        <v>15</v>
      </c>
      <c r="C10">
        <v>21</v>
      </c>
      <c r="D10">
        <v>10</v>
      </c>
      <c r="G10">
        <v>26</v>
      </c>
      <c r="H10">
        <v>20</v>
      </c>
      <c r="K10">
        <v>35</v>
      </c>
      <c r="L10">
        <v>5</v>
      </c>
      <c r="O10">
        <v>56</v>
      </c>
      <c r="P10">
        <v>41</v>
      </c>
      <c r="Q10">
        <v>61</v>
      </c>
      <c r="R10">
        <v>30</v>
      </c>
      <c r="S10">
        <v>66</v>
      </c>
      <c r="T10">
        <v>8</v>
      </c>
      <c r="W10">
        <v>69</v>
      </c>
      <c r="X10">
        <v>24</v>
      </c>
      <c r="Y10">
        <v>70</v>
      </c>
      <c r="Z10">
        <v>7</v>
      </c>
      <c r="AA10">
        <v>71</v>
      </c>
      <c r="AB10">
        <v>11</v>
      </c>
      <c r="AC10">
        <v>76</v>
      </c>
      <c r="AD10">
        <v>14</v>
      </c>
      <c r="AE10">
        <v>77</v>
      </c>
      <c r="AF10">
        <v>6</v>
      </c>
    </row>
    <row r="11" spans="1:32">
      <c r="A11">
        <v>7</v>
      </c>
      <c r="B11">
        <v>16</v>
      </c>
      <c r="C11">
        <v>21</v>
      </c>
      <c r="D11">
        <v>12</v>
      </c>
      <c r="G11">
        <v>26</v>
      </c>
      <c r="H11">
        <v>23</v>
      </c>
      <c r="K11">
        <v>35</v>
      </c>
      <c r="L11">
        <v>5</v>
      </c>
      <c r="O11">
        <v>56</v>
      </c>
      <c r="P11">
        <v>22</v>
      </c>
      <c r="Q11">
        <v>61</v>
      </c>
      <c r="R11">
        <v>45</v>
      </c>
      <c r="S11">
        <v>66</v>
      </c>
      <c r="T11">
        <v>8</v>
      </c>
      <c r="W11">
        <v>69</v>
      </c>
      <c r="X11">
        <v>9</v>
      </c>
      <c r="Y11">
        <v>70</v>
      </c>
      <c r="Z11">
        <v>21</v>
      </c>
      <c r="AA11">
        <v>71</v>
      </c>
      <c r="AB11">
        <v>7</v>
      </c>
      <c r="AC11">
        <v>76</v>
      </c>
      <c r="AD11">
        <v>10</v>
      </c>
      <c r="AE11">
        <v>77</v>
      </c>
      <c r="AF11">
        <v>6</v>
      </c>
    </row>
    <row r="12" spans="1:32">
      <c r="A12">
        <v>7</v>
      </c>
      <c r="B12">
        <v>14</v>
      </c>
      <c r="C12">
        <v>21</v>
      </c>
      <c r="D12">
        <v>9</v>
      </c>
      <c r="G12">
        <v>26</v>
      </c>
      <c r="H12">
        <v>17</v>
      </c>
      <c r="K12">
        <v>35</v>
      </c>
      <c r="L12">
        <v>5</v>
      </c>
      <c r="O12">
        <v>56</v>
      </c>
      <c r="P12">
        <v>76</v>
      </c>
      <c r="Q12">
        <v>61</v>
      </c>
      <c r="R12">
        <v>43</v>
      </c>
      <c r="S12">
        <v>66</v>
      </c>
      <c r="T12">
        <v>12</v>
      </c>
      <c r="W12">
        <v>69</v>
      </c>
      <c r="X12">
        <v>38</v>
      </c>
      <c r="Y12">
        <v>70</v>
      </c>
      <c r="Z12">
        <v>12</v>
      </c>
      <c r="AA12">
        <v>71</v>
      </c>
      <c r="AB12">
        <v>117</v>
      </c>
      <c r="AC12">
        <v>76</v>
      </c>
      <c r="AD12">
        <v>9</v>
      </c>
      <c r="AE12">
        <v>77</v>
      </c>
      <c r="AF12">
        <v>16</v>
      </c>
    </row>
    <row r="13" spans="1:32">
      <c r="A13">
        <v>7</v>
      </c>
      <c r="B13">
        <v>206</v>
      </c>
      <c r="C13">
        <v>21</v>
      </c>
      <c r="D13">
        <v>16</v>
      </c>
      <c r="G13">
        <v>26</v>
      </c>
      <c r="H13">
        <v>54</v>
      </c>
      <c r="K13">
        <v>35</v>
      </c>
      <c r="L13">
        <v>7</v>
      </c>
      <c r="O13">
        <v>56</v>
      </c>
      <c r="P13">
        <v>57</v>
      </c>
      <c r="Q13">
        <v>61</v>
      </c>
      <c r="R13">
        <v>28</v>
      </c>
      <c r="S13">
        <v>66</v>
      </c>
      <c r="T13">
        <v>14</v>
      </c>
      <c r="W13">
        <v>69</v>
      </c>
      <c r="X13">
        <v>25</v>
      </c>
      <c r="Y13">
        <v>70</v>
      </c>
      <c r="Z13">
        <v>13</v>
      </c>
      <c r="AA13">
        <v>71</v>
      </c>
      <c r="AB13">
        <v>29</v>
      </c>
      <c r="AC13">
        <v>76</v>
      </c>
      <c r="AD13">
        <v>8</v>
      </c>
      <c r="AE13">
        <v>77</v>
      </c>
      <c r="AF13">
        <v>22</v>
      </c>
    </row>
    <row r="14" spans="1:32">
      <c r="A14">
        <v>7</v>
      </c>
      <c r="B14">
        <v>20</v>
      </c>
      <c r="C14">
        <v>21</v>
      </c>
      <c r="D14">
        <v>19</v>
      </c>
      <c r="G14">
        <v>26</v>
      </c>
      <c r="H14">
        <v>71</v>
      </c>
      <c r="K14">
        <v>35</v>
      </c>
      <c r="L14">
        <v>24</v>
      </c>
      <c r="O14">
        <v>56</v>
      </c>
      <c r="P14">
        <v>51</v>
      </c>
      <c r="Q14">
        <v>61</v>
      </c>
      <c r="R14">
        <v>35</v>
      </c>
      <c r="S14">
        <v>66</v>
      </c>
      <c r="T14">
        <v>14</v>
      </c>
      <c r="W14">
        <v>69</v>
      </c>
      <c r="X14">
        <v>50</v>
      </c>
      <c r="Y14">
        <v>70</v>
      </c>
      <c r="Z14">
        <v>18</v>
      </c>
      <c r="AA14">
        <v>71</v>
      </c>
      <c r="AB14">
        <v>39</v>
      </c>
      <c r="AC14">
        <v>76</v>
      </c>
      <c r="AD14">
        <v>21</v>
      </c>
      <c r="AE14">
        <v>77</v>
      </c>
      <c r="AF14">
        <v>41</v>
      </c>
    </row>
    <row r="15" spans="1:32">
      <c r="A15">
        <v>7</v>
      </c>
      <c r="B15">
        <v>140</v>
      </c>
      <c r="C15">
        <v>21</v>
      </c>
      <c r="D15">
        <v>9</v>
      </c>
      <c r="G15">
        <v>26</v>
      </c>
      <c r="H15">
        <v>47</v>
      </c>
      <c r="K15">
        <v>35</v>
      </c>
      <c r="L15">
        <v>10</v>
      </c>
      <c r="O15">
        <v>56</v>
      </c>
      <c r="P15">
        <v>29</v>
      </c>
      <c r="Q15">
        <v>61</v>
      </c>
      <c r="R15">
        <v>37</v>
      </c>
      <c r="S15">
        <v>66</v>
      </c>
      <c r="T15">
        <v>7</v>
      </c>
      <c r="W15">
        <v>69</v>
      </c>
      <c r="X15">
        <v>33</v>
      </c>
      <c r="Y15">
        <v>70</v>
      </c>
      <c r="Z15">
        <v>22</v>
      </c>
      <c r="AA15">
        <v>71</v>
      </c>
      <c r="AB15">
        <v>26</v>
      </c>
      <c r="AC15">
        <v>76</v>
      </c>
      <c r="AD15">
        <v>34</v>
      </c>
      <c r="AE15">
        <v>77</v>
      </c>
      <c r="AF15">
        <v>12</v>
      </c>
    </row>
    <row r="16" spans="1:32">
      <c r="A16">
        <v>7</v>
      </c>
      <c r="B16">
        <v>42</v>
      </c>
      <c r="C16">
        <v>21</v>
      </c>
      <c r="D16">
        <v>31</v>
      </c>
      <c r="G16">
        <v>26</v>
      </c>
      <c r="H16">
        <v>59</v>
      </c>
      <c r="K16">
        <v>35</v>
      </c>
      <c r="L16">
        <v>23</v>
      </c>
      <c r="O16">
        <v>56</v>
      </c>
      <c r="P16">
        <v>47</v>
      </c>
      <c r="Q16">
        <v>61</v>
      </c>
      <c r="R16">
        <v>29</v>
      </c>
      <c r="S16">
        <v>66</v>
      </c>
      <c r="T16">
        <v>12</v>
      </c>
      <c r="W16">
        <v>69</v>
      </c>
      <c r="X16">
        <v>32</v>
      </c>
      <c r="Y16">
        <v>70</v>
      </c>
      <c r="Z16">
        <v>15</v>
      </c>
      <c r="AA16">
        <v>71</v>
      </c>
      <c r="AB16">
        <v>17</v>
      </c>
      <c r="AC16">
        <v>76</v>
      </c>
      <c r="AD16">
        <v>6</v>
      </c>
      <c r="AE16">
        <v>77</v>
      </c>
      <c r="AF16">
        <v>11</v>
      </c>
    </row>
    <row r="17" spans="1:32">
      <c r="A17">
        <v>7</v>
      </c>
      <c r="B17">
        <v>1583</v>
      </c>
      <c r="C17">
        <v>21</v>
      </c>
      <c r="D17">
        <v>17</v>
      </c>
      <c r="G17">
        <v>26</v>
      </c>
      <c r="H17">
        <v>23</v>
      </c>
      <c r="K17">
        <v>35</v>
      </c>
      <c r="L17">
        <v>14</v>
      </c>
      <c r="O17">
        <v>56</v>
      </c>
      <c r="P17">
        <v>19</v>
      </c>
      <c r="Q17">
        <v>61</v>
      </c>
      <c r="R17">
        <v>19</v>
      </c>
      <c r="S17">
        <v>66</v>
      </c>
      <c r="T17">
        <v>33</v>
      </c>
      <c r="W17">
        <v>69</v>
      </c>
      <c r="X17">
        <v>31</v>
      </c>
      <c r="Y17">
        <v>70</v>
      </c>
      <c r="Z17">
        <v>13</v>
      </c>
      <c r="AA17">
        <v>71</v>
      </c>
      <c r="AB17">
        <v>24</v>
      </c>
      <c r="AC17">
        <v>76</v>
      </c>
      <c r="AD17">
        <v>13</v>
      </c>
      <c r="AE17">
        <v>77</v>
      </c>
      <c r="AF17">
        <v>9</v>
      </c>
    </row>
    <row r="18" spans="1:32">
      <c r="A18">
        <v>7</v>
      </c>
      <c r="B18">
        <v>156</v>
      </c>
      <c r="C18">
        <v>21</v>
      </c>
      <c r="D18">
        <v>12</v>
      </c>
      <c r="G18">
        <v>26</v>
      </c>
      <c r="H18">
        <v>80</v>
      </c>
      <c r="K18">
        <v>35</v>
      </c>
      <c r="L18">
        <v>7</v>
      </c>
      <c r="O18">
        <v>56</v>
      </c>
      <c r="P18">
        <v>20</v>
      </c>
      <c r="Q18">
        <v>61</v>
      </c>
      <c r="R18">
        <v>193</v>
      </c>
      <c r="S18">
        <v>66</v>
      </c>
      <c r="T18">
        <v>13</v>
      </c>
      <c r="Y18">
        <v>70</v>
      </c>
      <c r="Z18">
        <v>15</v>
      </c>
      <c r="AA18">
        <v>71</v>
      </c>
      <c r="AB18">
        <v>682</v>
      </c>
      <c r="AC18">
        <v>76</v>
      </c>
      <c r="AD18">
        <v>21</v>
      </c>
      <c r="AE18">
        <v>77</v>
      </c>
      <c r="AF18">
        <v>481</v>
      </c>
    </row>
    <row r="19" spans="1:32">
      <c r="A19">
        <v>7</v>
      </c>
      <c r="B19">
        <v>790</v>
      </c>
      <c r="C19">
        <v>21</v>
      </c>
      <c r="D19">
        <v>115</v>
      </c>
      <c r="G19">
        <v>26</v>
      </c>
      <c r="H19">
        <v>141</v>
      </c>
      <c r="K19">
        <v>35</v>
      </c>
      <c r="L19">
        <v>65</v>
      </c>
      <c r="O19">
        <v>56</v>
      </c>
      <c r="P19">
        <v>75</v>
      </c>
      <c r="S19">
        <v>66</v>
      </c>
      <c r="T19">
        <v>22</v>
      </c>
      <c r="Y19">
        <v>70</v>
      </c>
      <c r="Z19">
        <v>11</v>
      </c>
      <c r="AA19">
        <v>71</v>
      </c>
      <c r="AB19">
        <v>71</v>
      </c>
      <c r="AC19">
        <v>76</v>
      </c>
      <c r="AD19">
        <v>9</v>
      </c>
      <c r="AE19">
        <v>77</v>
      </c>
      <c r="AF19">
        <v>152</v>
      </c>
    </row>
    <row r="20" spans="1:32">
      <c r="C20">
        <v>21</v>
      </c>
      <c r="D20">
        <v>43</v>
      </c>
      <c r="G20">
        <v>26</v>
      </c>
      <c r="H20">
        <v>43</v>
      </c>
      <c r="K20">
        <v>35</v>
      </c>
      <c r="L20">
        <v>20</v>
      </c>
      <c r="O20">
        <v>56</v>
      </c>
      <c r="P20">
        <v>65</v>
      </c>
      <c r="S20">
        <v>66</v>
      </c>
      <c r="T20">
        <v>35</v>
      </c>
      <c r="Y20">
        <v>70</v>
      </c>
      <c r="Z20">
        <v>98</v>
      </c>
      <c r="AA20">
        <v>71</v>
      </c>
      <c r="AB20">
        <v>128</v>
      </c>
      <c r="AC20">
        <v>76</v>
      </c>
      <c r="AD20">
        <v>64</v>
      </c>
    </row>
    <row r="21" spans="1:32">
      <c r="G21">
        <v>26</v>
      </c>
      <c r="H21">
        <v>74</v>
      </c>
      <c r="K21">
        <v>35</v>
      </c>
      <c r="L21">
        <v>38</v>
      </c>
      <c r="O21">
        <v>56</v>
      </c>
      <c r="P21">
        <v>64</v>
      </c>
      <c r="Y21">
        <v>70</v>
      </c>
      <c r="Z21">
        <v>24</v>
      </c>
      <c r="AA21">
        <v>71</v>
      </c>
      <c r="AB21">
        <v>77</v>
      </c>
      <c r="AC21">
        <v>76</v>
      </c>
      <c r="AD21">
        <v>64</v>
      </c>
    </row>
    <row r="22" spans="1:32">
      <c r="G22">
        <v>26</v>
      </c>
      <c r="H22">
        <v>58</v>
      </c>
      <c r="K22">
        <v>35</v>
      </c>
      <c r="L22">
        <v>24</v>
      </c>
      <c r="O22">
        <v>56</v>
      </c>
      <c r="P22">
        <v>176</v>
      </c>
      <c r="Y22">
        <v>70</v>
      </c>
      <c r="Z22">
        <v>67</v>
      </c>
      <c r="AA22">
        <v>71</v>
      </c>
      <c r="AB22">
        <v>76</v>
      </c>
    </row>
    <row r="23" spans="1:32">
      <c r="G23">
        <v>26</v>
      </c>
      <c r="H23">
        <v>40</v>
      </c>
      <c r="K23">
        <v>35</v>
      </c>
      <c r="L23">
        <v>17</v>
      </c>
      <c r="O23">
        <v>56</v>
      </c>
      <c r="P23">
        <v>80</v>
      </c>
      <c r="AA23">
        <v>71</v>
      </c>
      <c r="AB23">
        <v>92</v>
      </c>
    </row>
    <row r="24" spans="1:32">
      <c r="K24">
        <v>35</v>
      </c>
      <c r="L24">
        <v>22</v>
      </c>
      <c r="O24">
        <v>56</v>
      </c>
      <c r="P24">
        <v>110</v>
      </c>
    </row>
    <row r="26" spans="1:32">
      <c r="A26" t="s">
        <v>278</v>
      </c>
    </row>
    <row r="27" spans="1:32">
      <c r="A27">
        <f>AVERAGE(B1,D1,F1,H1,J1,L1,N1,P1,R1,T1,V1,X1,Z1,AB1,AD1,AF1)</f>
        <v>173.0625</v>
      </c>
      <c r="C27">
        <f>264/16</f>
        <v>16.5</v>
      </c>
      <c r="D27">
        <f>AVERAGE(A27:A38)</f>
        <v>53.514197954822947</v>
      </c>
    </row>
    <row r="28" spans="1:32">
      <c r="A28">
        <f t="shared" ref="A28:A44" si="0">AVERAGE(B2,D2,F2,H2,J2,L2,N2,P2,R2,T2,V2,X2,Z2,AB2,AD2,AF2)</f>
        <v>90</v>
      </c>
    </row>
    <row r="29" spans="1:32">
      <c r="A29">
        <f t="shared" si="0"/>
        <v>56.06666666666667</v>
      </c>
    </row>
    <row r="30" spans="1:32">
      <c r="A30">
        <f t="shared" si="0"/>
        <v>45.571428571428569</v>
      </c>
    </row>
    <row r="31" spans="1:32">
      <c r="A31">
        <f t="shared" si="0"/>
        <v>77.642857142857139</v>
      </c>
    </row>
    <row r="32" spans="1:32">
      <c r="A32">
        <f t="shared" si="0"/>
        <v>69.07692307692308</v>
      </c>
    </row>
    <row r="33" spans="1:1">
      <c r="A33">
        <f t="shared" si="0"/>
        <v>24.25</v>
      </c>
    </row>
    <row r="34" spans="1:1">
      <c r="A34">
        <f t="shared" si="0"/>
        <v>20.416666666666668</v>
      </c>
    </row>
    <row r="35" spans="1:1">
      <c r="A35">
        <f t="shared" si="0"/>
        <v>24.166666666666668</v>
      </c>
    </row>
    <row r="36" spans="1:1">
      <c r="A36">
        <f t="shared" si="0"/>
        <v>15.916666666666666</v>
      </c>
    </row>
    <row r="37" spans="1:1">
      <c r="A37">
        <f t="shared" si="0"/>
        <v>15.333333333333334</v>
      </c>
    </row>
    <row r="38" spans="1:1">
      <c r="A38">
        <f t="shared" si="0"/>
        <v>30.666666666666668</v>
      </c>
    </row>
    <row r="39" spans="1:1">
      <c r="A39">
        <f t="shared" si="0"/>
        <v>39.916666666666664</v>
      </c>
    </row>
    <row r="40" spans="1:1">
      <c r="A40">
        <f t="shared" si="0"/>
        <v>33.583333333333336</v>
      </c>
    </row>
    <row r="41" spans="1:1">
      <c r="A41">
        <f t="shared" si="0"/>
        <v>33.833333333333336</v>
      </c>
    </row>
    <row r="42" spans="1:1">
      <c r="A42">
        <f t="shared" si="0"/>
        <v>27</v>
      </c>
    </row>
    <row r="43" spans="1:1">
      <c r="A43">
        <f t="shared" si="0"/>
        <v>149.83333333333334</v>
      </c>
    </row>
    <row r="44" spans="1:1">
      <c r="A44">
        <f t="shared" si="0"/>
        <v>152.72727272727272</v>
      </c>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65"/>
  <sheetViews>
    <sheetView topLeftCell="A27" workbookViewId="0">
      <selection activeCell="C31" sqref="C31"/>
    </sheetView>
  </sheetViews>
  <sheetFormatPr baseColWidth="10" defaultColWidth="11" defaultRowHeight="15" x14ac:dyDescent="0"/>
  <sheetData>
    <row r="1" spans="1:106">
      <c r="A1">
        <v>1</v>
      </c>
      <c r="B1" s="2"/>
      <c r="C1">
        <v>4</v>
      </c>
      <c r="D1">
        <v>17</v>
      </c>
      <c r="E1">
        <v>5</v>
      </c>
      <c r="F1" s="2"/>
      <c r="G1">
        <v>6</v>
      </c>
      <c r="H1" s="2"/>
      <c r="I1">
        <v>8</v>
      </c>
      <c r="J1">
        <v>69</v>
      </c>
      <c r="K1">
        <v>11</v>
      </c>
      <c r="L1" s="2"/>
      <c r="M1">
        <v>12</v>
      </c>
      <c r="N1" s="2"/>
      <c r="O1">
        <v>13</v>
      </c>
      <c r="Q1">
        <v>14</v>
      </c>
      <c r="R1">
        <v>65</v>
      </c>
      <c r="S1">
        <v>15</v>
      </c>
      <c r="U1">
        <v>16</v>
      </c>
      <c r="W1">
        <v>17</v>
      </c>
      <c r="X1">
        <v>91</v>
      </c>
      <c r="Y1">
        <v>19</v>
      </c>
      <c r="Z1">
        <v>19</v>
      </c>
      <c r="AA1">
        <v>20</v>
      </c>
      <c r="AB1">
        <v>75</v>
      </c>
      <c r="AC1">
        <v>22</v>
      </c>
      <c r="AD1">
        <v>187</v>
      </c>
      <c r="AE1">
        <v>23</v>
      </c>
      <c r="AF1">
        <v>269</v>
      </c>
      <c r="AG1">
        <v>24</v>
      </c>
      <c r="AH1">
        <v>65</v>
      </c>
      <c r="AI1">
        <v>27</v>
      </c>
      <c r="AJ1">
        <v>152</v>
      </c>
      <c r="AK1">
        <v>28</v>
      </c>
      <c r="AL1">
        <v>29</v>
      </c>
      <c r="AM1">
        <v>30</v>
      </c>
      <c r="AN1">
        <v>19</v>
      </c>
      <c r="AO1">
        <v>32</v>
      </c>
      <c r="AP1">
        <v>20</v>
      </c>
      <c r="AQ1">
        <v>33</v>
      </c>
      <c r="AR1">
        <v>12</v>
      </c>
      <c r="AS1">
        <v>36</v>
      </c>
      <c r="AT1">
        <v>131</v>
      </c>
      <c r="AU1">
        <v>38</v>
      </c>
      <c r="AV1">
        <v>174</v>
      </c>
      <c r="AW1">
        <v>42</v>
      </c>
      <c r="AX1">
        <v>110</v>
      </c>
      <c r="AY1">
        <v>43</v>
      </c>
      <c r="AZ1">
        <v>133</v>
      </c>
      <c r="BA1">
        <v>45</v>
      </c>
      <c r="BB1">
        <v>80</v>
      </c>
      <c r="BC1">
        <v>47</v>
      </c>
      <c r="BD1">
        <v>59</v>
      </c>
      <c r="BE1">
        <v>48</v>
      </c>
      <c r="BF1">
        <v>76</v>
      </c>
      <c r="BG1">
        <v>49</v>
      </c>
      <c r="BH1">
        <v>48</v>
      </c>
      <c r="BI1">
        <v>52</v>
      </c>
      <c r="BJ1">
        <v>274</v>
      </c>
      <c r="BK1">
        <v>54</v>
      </c>
      <c r="BL1">
        <v>574</v>
      </c>
      <c r="BM1">
        <v>55</v>
      </c>
      <c r="BN1">
        <v>293</v>
      </c>
      <c r="BO1">
        <v>57</v>
      </c>
      <c r="BP1">
        <v>30</v>
      </c>
      <c r="BQ1">
        <v>58</v>
      </c>
      <c r="BR1">
        <v>46</v>
      </c>
      <c r="BS1">
        <v>62</v>
      </c>
      <c r="BT1">
        <v>30</v>
      </c>
      <c r="BU1">
        <v>63</v>
      </c>
      <c r="BV1">
        <v>23</v>
      </c>
      <c r="BW1">
        <v>64</v>
      </c>
      <c r="BX1">
        <v>116</v>
      </c>
    </row>
    <row r="2" spans="1:106">
      <c r="A2">
        <v>1</v>
      </c>
      <c r="B2" s="2"/>
      <c r="C2">
        <v>4</v>
      </c>
      <c r="D2">
        <v>17</v>
      </c>
      <c r="E2">
        <v>5</v>
      </c>
      <c r="F2" s="2"/>
      <c r="G2">
        <v>6</v>
      </c>
      <c r="H2" s="2"/>
      <c r="I2">
        <v>8</v>
      </c>
      <c r="J2">
        <v>34</v>
      </c>
      <c r="K2">
        <v>11</v>
      </c>
      <c r="L2" s="2"/>
      <c r="M2">
        <v>12</v>
      </c>
      <c r="N2" s="2"/>
      <c r="O2">
        <v>13</v>
      </c>
      <c r="Q2">
        <v>14</v>
      </c>
      <c r="R2">
        <v>20</v>
      </c>
      <c r="S2">
        <v>15</v>
      </c>
      <c r="U2">
        <v>16</v>
      </c>
      <c r="W2">
        <v>17</v>
      </c>
      <c r="X2">
        <v>18</v>
      </c>
      <c r="Y2">
        <v>19</v>
      </c>
      <c r="Z2">
        <v>25</v>
      </c>
      <c r="AA2">
        <v>20</v>
      </c>
      <c r="AB2">
        <v>14</v>
      </c>
      <c r="AC2">
        <v>22</v>
      </c>
      <c r="AD2">
        <v>29</v>
      </c>
      <c r="AE2">
        <v>23</v>
      </c>
      <c r="AF2">
        <v>34</v>
      </c>
      <c r="AG2">
        <v>24</v>
      </c>
      <c r="AH2">
        <v>39</v>
      </c>
      <c r="AI2">
        <v>27</v>
      </c>
      <c r="AJ2">
        <v>127</v>
      </c>
      <c r="AM2">
        <v>30</v>
      </c>
      <c r="AN2">
        <v>20</v>
      </c>
      <c r="AO2">
        <v>32</v>
      </c>
      <c r="AP2">
        <v>10</v>
      </c>
      <c r="AQ2">
        <v>33</v>
      </c>
      <c r="AR2">
        <v>21</v>
      </c>
      <c r="AS2">
        <v>36</v>
      </c>
      <c r="AT2">
        <v>84</v>
      </c>
      <c r="AU2">
        <v>38</v>
      </c>
      <c r="AV2">
        <v>31</v>
      </c>
      <c r="AW2">
        <v>42</v>
      </c>
      <c r="AX2">
        <v>118</v>
      </c>
      <c r="AY2">
        <v>43</v>
      </c>
      <c r="AZ2">
        <v>62</v>
      </c>
      <c r="BA2">
        <v>45</v>
      </c>
      <c r="BB2">
        <v>25</v>
      </c>
      <c r="BC2">
        <v>47</v>
      </c>
      <c r="BD2">
        <v>33</v>
      </c>
      <c r="BE2">
        <v>48</v>
      </c>
      <c r="BF2">
        <v>70</v>
      </c>
      <c r="BG2">
        <v>49</v>
      </c>
      <c r="BH2">
        <v>70</v>
      </c>
      <c r="BI2">
        <v>52</v>
      </c>
      <c r="BJ2">
        <v>22</v>
      </c>
      <c r="BK2">
        <v>54</v>
      </c>
      <c r="BL2">
        <v>44</v>
      </c>
      <c r="BM2">
        <v>55</v>
      </c>
      <c r="BN2">
        <v>38</v>
      </c>
      <c r="BO2">
        <v>57</v>
      </c>
      <c r="BP2">
        <v>25</v>
      </c>
      <c r="BQ2">
        <v>58</v>
      </c>
      <c r="BR2">
        <v>50</v>
      </c>
      <c r="BS2">
        <v>62</v>
      </c>
      <c r="BT2">
        <v>125</v>
      </c>
      <c r="BU2">
        <v>63</v>
      </c>
      <c r="BV2">
        <v>60</v>
      </c>
      <c r="BW2">
        <v>64</v>
      </c>
      <c r="BX2">
        <v>63</v>
      </c>
      <c r="BY2" s="1">
        <v>65</v>
      </c>
      <c r="BZ2" s="1">
        <v>32</v>
      </c>
      <c r="CA2">
        <v>68</v>
      </c>
      <c r="CB2">
        <v>126</v>
      </c>
      <c r="CC2">
        <v>73</v>
      </c>
      <c r="CD2">
        <v>110</v>
      </c>
      <c r="CE2">
        <v>74</v>
      </c>
      <c r="CF2">
        <v>96</v>
      </c>
      <c r="CG2">
        <v>75</v>
      </c>
      <c r="CH2">
        <v>42</v>
      </c>
      <c r="CI2">
        <v>78</v>
      </c>
      <c r="CJ2">
        <v>250</v>
      </c>
      <c r="CK2">
        <v>79</v>
      </c>
      <c r="CL2">
        <v>45</v>
      </c>
      <c r="CM2">
        <v>80</v>
      </c>
      <c r="CN2">
        <v>39</v>
      </c>
      <c r="CO2">
        <v>81</v>
      </c>
      <c r="CP2">
        <v>85</v>
      </c>
      <c r="CQ2">
        <v>82</v>
      </c>
      <c r="CR2">
        <v>346</v>
      </c>
      <c r="CS2" s="1">
        <v>83</v>
      </c>
      <c r="CT2" s="1">
        <v>96</v>
      </c>
      <c r="CU2">
        <v>84</v>
      </c>
      <c r="CV2">
        <v>36</v>
      </c>
      <c r="CW2">
        <v>85</v>
      </c>
      <c r="CX2">
        <v>54</v>
      </c>
      <c r="CY2">
        <v>86</v>
      </c>
      <c r="CZ2">
        <v>28</v>
      </c>
      <c r="DA2">
        <v>87</v>
      </c>
      <c r="DB2">
        <v>80</v>
      </c>
    </row>
    <row r="3" spans="1:106">
      <c r="A3">
        <v>1</v>
      </c>
      <c r="B3" s="2"/>
      <c r="C3">
        <v>4</v>
      </c>
      <c r="D3">
        <v>33</v>
      </c>
      <c r="E3">
        <v>5</v>
      </c>
      <c r="F3" s="2"/>
      <c r="G3">
        <v>6</v>
      </c>
      <c r="H3" s="2"/>
      <c r="I3">
        <v>8</v>
      </c>
      <c r="J3">
        <v>83</v>
      </c>
      <c r="K3">
        <v>11</v>
      </c>
      <c r="L3" s="2"/>
      <c r="M3">
        <v>12</v>
      </c>
      <c r="N3" s="2"/>
      <c r="O3">
        <v>13</v>
      </c>
      <c r="Q3">
        <v>14</v>
      </c>
      <c r="R3">
        <v>59</v>
      </c>
      <c r="S3">
        <v>15</v>
      </c>
      <c r="U3">
        <v>16</v>
      </c>
      <c r="W3">
        <v>17</v>
      </c>
      <c r="X3">
        <v>17</v>
      </c>
      <c r="Y3">
        <v>19</v>
      </c>
      <c r="Z3">
        <v>44</v>
      </c>
      <c r="AA3">
        <v>20</v>
      </c>
      <c r="AB3">
        <v>10</v>
      </c>
      <c r="AC3">
        <v>22</v>
      </c>
      <c r="AD3">
        <v>17</v>
      </c>
      <c r="AE3">
        <v>23</v>
      </c>
      <c r="AF3">
        <v>29</v>
      </c>
      <c r="AG3">
        <v>24</v>
      </c>
      <c r="AH3">
        <v>53</v>
      </c>
      <c r="AI3">
        <v>27</v>
      </c>
      <c r="AJ3">
        <v>82</v>
      </c>
      <c r="AM3">
        <v>30</v>
      </c>
      <c r="AN3">
        <v>13</v>
      </c>
      <c r="AO3">
        <v>32</v>
      </c>
      <c r="AP3">
        <v>11</v>
      </c>
      <c r="AQ3">
        <v>33</v>
      </c>
      <c r="AR3">
        <v>12</v>
      </c>
      <c r="AS3">
        <v>36</v>
      </c>
      <c r="AT3">
        <v>43</v>
      </c>
      <c r="AU3">
        <v>38</v>
      </c>
      <c r="AV3">
        <v>48</v>
      </c>
      <c r="AW3">
        <v>42</v>
      </c>
      <c r="AX3">
        <v>26</v>
      </c>
      <c r="AY3">
        <v>43</v>
      </c>
      <c r="AZ3">
        <v>48</v>
      </c>
      <c r="BA3">
        <v>45</v>
      </c>
      <c r="BB3">
        <v>53</v>
      </c>
      <c r="BC3">
        <v>47</v>
      </c>
      <c r="BD3">
        <v>24</v>
      </c>
      <c r="BE3">
        <v>48</v>
      </c>
      <c r="BF3">
        <v>70</v>
      </c>
      <c r="BG3">
        <v>49</v>
      </c>
      <c r="BH3">
        <v>63</v>
      </c>
      <c r="BI3">
        <v>52</v>
      </c>
      <c r="BJ3">
        <v>27</v>
      </c>
      <c r="BK3">
        <v>54</v>
      </c>
      <c r="BL3">
        <v>21</v>
      </c>
      <c r="BM3">
        <v>55</v>
      </c>
      <c r="BN3">
        <v>18</v>
      </c>
      <c r="BO3">
        <v>57</v>
      </c>
      <c r="BP3">
        <v>27</v>
      </c>
      <c r="BQ3">
        <v>58</v>
      </c>
      <c r="BR3">
        <v>31</v>
      </c>
      <c r="BS3">
        <v>62</v>
      </c>
      <c r="BT3">
        <v>37</v>
      </c>
      <c r="BU3">
        <v>63</v>
      </c>
      <c r="BV3">
        <v>24</v>
      </c>
      <c r="BW3">
        <v>64</v>
      </c>
      <c r="BX3">
        <v>42</v>
      </c>
      <c r="BY3">
        <v>65</v>
      </c>
      <c r="BZ3">
        <v>19</v>
      </c>
      <c r="CA3">
        <v>68</v>
      </c>
      <c r="CB3">
        <v>66</v>
      </c>
      <c r="CC3">
        <v>73</v>
      </c>
      <c r="CD3">
        <v>60</v>
      </c>
      <c r="CE3">
        <v>74</v>
      </c>
      <c r="CF3">
        <v>26</v>
      </c>
      <c r="CG3">
        <v>75</v>
      </c>
      <c r="CH3">
        <v>57</v>
      </c>
      <c r="CI3">
        <v>78</v>
      </c>
      <c r="CJ3">
        <v>175</v>
      </c>
      <c r="CK3">
        <v>79</v>
      </c>
      <c r="CL3">
        <v>24</v>
      </c>
      <c r="CM3">
        <v>80</v>
      </c>
      <c r="CN3">
        <v>63</v>
      </c>
      <c r="CO3">
        <v>81</v>
      </c>
      <c r="CP3">
        <v>69</v>
      </c>
      <c r="CQ3">
        <v>82</v>
      </c>
      <c r="CR3">
        <v>61</v>
      </c>
      <c r="CS3">
        <v>83</v>
      </c>
      <c r="CT3">
        <v>51</v>
      </c>
      <c r="CU3">
        <v>84</v>
      </c>
      <c r="CV3">
        <v>13</v>
      </c>
      <c r="CW3">
        <v>85</v>
      </c>
      <c r="CX3">
        <v>35</v>
      </c>
      <c r="CY3">
        <v>86</v>
      </c>
      <c r="CZ3">
        <v>11</v>
      </c>
      <c r="DA3">
        <v>87</v>
      </c>
      <c r="DB3">
        <v>31</v>
      </c>
    </row>
    <row r="4" spans="1:106">
      <c r="A4">
        <v>1</v>
      </c>
      <c r="B4" s="2"/>
      <c r="C4">
        <v>4</v>
      </c>
      <c r="D4">
        <v>106</v>
      </c>
      <c r="E4">
        <v>5</v>
      </c>
      <c r="F4" s="2"/>
      <c r="G4">
        <v>6</v>
      </c>
      <c r="H4" s="2"/>
      <c r="I4">
        <v>8</v>
      </c>
      <c r="J4">
        <v>87</v>
      </c>
      <c r="K4">
        <v>11</v>
      </c>
      <c r="L4" s="2"/>
      <c r="M4">
        <v>12</v>
      </c>
      <c r="N4" s="2"/>
      <c r="O4">
        <v>13</v>
      </c>
      <c r="Q4">
        <v>14</v>
      </c>
      <c r="R4">
        <v>71</v>
      </c>
      <c r="S4">
        <v>15</v>
      </c>
      <c r="U4">
        <v>16</v>
      </c>
      <c r="W4">
        <v>17</v>
      </c>
      <c r="X4">
        <v>42</v>
      </c>
      <c r="Y4">
        <v>19</v>
      </c>
      <c r="Z4">
        <v>25</v>
      </c>
      <c r="AA4">
        <v>20</v>
      </c>
      <c r="AB4">
        <v>13</v>
      </c>
      <c r="AC4">
        <v>22</v>
      </c>
      <c r="AD4">
        <v>16</v>
      </c>
      <c r="AE4">
        <v>23</v>
      </c>
      <c r="AF4">
        <v>31</v>
      </c>
      <c r="AG4">
        <v>24</v>
      </c>
      <c r="AH4">
        <v>24</v>
      </c>
      <c r="AI4">
        <v>27</v>
      </c>
      <c r="AJ4">
        <v>186</v>
      </c>
      <c r="AM4">
        <v>30</v>
      </c>
      <c r="AN4">
        <v>36</v>
      </c>
      <c r="AO4">
        <v>32</v>
      </c>
      <c r="AP4">
        <v>25</v>
      </c>
      <c r="AQ4">
        <v>33</v>
      </c>
      <c r="AR4">
        <v>41</v>
      </c>
      <c r="AS4">
        <v>36</v>
      </c>
      <c r="AT4">
        <v>51</v>
      </c>
      <c r="AU4">
        <v>38</v>
      </c>
      <c r="AV4">
        <v>72</v>
      </c>
      <c r="AW4">
        <v>42</v>
      </c>
      <c r="AX4">
        <v>43</v>
      </c>
      <c r="AY4">
        <v>43</v>
      </c>
      <c r="AZ4">
        <v>46</v>
      </c>
      <c r="BA4">
        <v>45</v>
      </c>
      <c r="BB4">
        <v>29</v>
      </c>
      <c r="BC4">
        <v>47</v>
      </c>
      <c r="BD4">
        <v>20</v>
      </c>
      <c r="BE4">
        <v>48</v>
      </c>
      <c r="BF4">
        <v>36</v>
      </c>
      <c r="BG4">
        <v>49</v>
      </c>
      <c r="BH4">
        <v>16</v>
      </c>
      <c r="BI4">
        <v>52</v>
      </c>
      <c r="BJ4">
        <v>360</v>
      </c>
      <c r="BK4">
        <v>54</v>
      </c>
      <c r="BL4">
        <v>32</v>
      </c>
      <c r="BM4">
        <v>55</v>
      </c>
      <c r="BN4">
        <v>40</v>
      </c>
      <c r="BO4">
        <v>57</v>
      </c>
      <c r="BP4">
        <v>57</v>
      </c>
      <c r="BQ4">
        <v>58</v>
      </c>
      <c r="BR4">
        <v>35</v>
      </c>
      <c r="BS4">
        <v>62</v>
      </c>
      <c r="BT4">
        <v>95</v>
      </c>
      <c r="BU4">
        <v>63</v>
      </c>
      <c r="BV4">
        <v>21</v>
      </c>
      <c r="BW4">
        <v>64</v>
      </c>
      <c r="BX4">
        <v>50</v>
      </c>
      <c r="BY4">
        <v>65</v>
      </c>
      <c r="BZ4">
        <v>15</v>
      </c>
      <c r="CA4">
        <v>68</v>
      </c>
      <c r="CB4">
        <v>205</v>
      </c>
      <c r="CC4">
        <v>73</v>
      </c>
      <c r="CD4">
        <v>17</v>
      </c>
      <c r="CE4">
        <v>74</v>
      </c>
      <c r="CF4">
        <v>21</v>
      </c>
      <c r="CG4">
        <v>75</v>
      </c>
      <c r="CH4">
        <v>38</v>
      </c>
      <c r="CI4">
        <v>78</v>
      </c>
      <c r="CJ4">
        <v>129</v>
      </c>
      <c r="CK4">
        <v>79</v>
      </c>
      <c r="CL4">
        <v>40</v>
      </c>
      <c r="CM4">
        <v>80</v>
      </c>
      <c r="CN4">
        <v>13</v>
      </c>
      <c r="CO4">
        <v>81</v>
      </c>
      <c r="CP4">
        <v>24</v>
      </c>
      <c r="CQ4">
        <v>82</v>
      </c>
      <c r="CR4">
        <v>20</v>
      </c>
      <c r="CS4">
        <v>83</v>
      </c>
      <c r="CT4">
        <v>57</v>
      </c>
      <c r="CU4">
        <v>84</v>
      </c>
      <c r="CV4">
        <v>106</v>
      </c>
      <c r="CW4">
        <v>85</v>
      </c>
      <c r="CX4">
        <v>47</v>
      </c>
      <c r="CY4">
        <v>86</v>
      </c>
      <c r="CZ4">
        <v>22</v>
      </c>
      <c r="DA4">
        <v>87</v>
      </c>
      <c r="DB4">
        <v>25</v>
      </c>
    </row>
    <row r="5" spans="1:106">
      <c r="A5">
        <v>1</v>
      </c>
      <c r="B5" s="2"/>
      <c r="C5">
        <v>4</v>
      </c>
      <c r="D5">
        <v>73</v>
      </c>
      <c r="E5">
        <v>5</v>
      </c>
      <c r="F5" s="2"/>
      <c r="G5">
        <v>6</v>
      </c>
      <c r="H5" s="2"/>
      <c r="I5">
        <v>8</v>
      </c>
      <c r="J5">
        <v>13</v>
      </c>
      <c r="K5">
        <v>11</v>
      </c>
      <c r="L5" s="2"/>
      <c r="M5">
        <v>12</v>
      </c>
      <c r="N5" s="2"/>
      <c r="O5">
        <v>13</v>
      </c>
      <c r="Q5">
        <v>14</v>
      </c>
      <c r="R5">
        <v>16</v>
      </c>
      <c r="S5">
        <v>15</v>
      </c>
      <c r="U5">
        <v>16</v>
      </c>
      <c r="W5">
        <v>17</v>
      </c>
      <c r="X5">
        <v>47</v>
      </c>
      <c r="Y5">
        <v>19</v>
      </c>
      <c r="Z5">
        <v>33</v>
      </c>
      <c r="AA5">
        <v>20</v>
      </c>
      <c r="AB5">
        <v>21</v>
      </c>
      <c r="AC5">
        <v>22</v>
      </c>
      <c r="AD5">
        <v>43</v>
      </c>
      <c r="AE5">
        <v>23</v>
      </c>
      <c r="AF5">
        <v>39</v>
      </c>
      <c r="AG5">
        <v>24</v>
      </c>
      <c r="AH5">
        <v>22</v>
      </c>
      <c r="AI5">
        <v>27</v>
      </c>
      <c r="AJ5">
        <v>27</v>
      </c>
      <c r="AM5">
        <v>30</v>
      </c>
      <c r="AN5">
        <v>19</v>
      </c>
      <c r="AO5">
        <v>32</v>
      </c>
      <c r="AP5">
        <v>27</v>
      </c>
      <c r="AQ5">
        <v>33</v>
      </c>
      <c r="AR5">
        <v>52</v>
      </c>
      <c r="AS5">
        <v>36</v>
      </c>
      <c r="AT5">
        <v>19</v>
      </c>
      <c r="AU5">
        <v>38</v>
      </c>
      <c r="AV5">
        <v>26</v>
      </c>
      <c r="AW5">
        <v>42</v>
      </c>
      <c r="AX5">
        <v>40</v>
      </c>
      <c r="AY5">
        <v>43</v>
      </c>
      <c r="AZ5">
        <v>22</v>
      </c>
      <c r="BA5">
        <v>45</v>
      </c>
      <c r="BB5">
        <v>42</v>
      </c>
      <c r="BC5">
        <v>47</v>
      </c>
      <c r="BD5">
        <v>25</v>
      </c>
      <c r="BE5">
        <v>48</v>
      </c>
      <c r="BF5">
        <v>27</v>
      </c>
      <c r="BG5">
        <v>49</v>
      </c>
      <c r="BH5">
        <v>10</v>
      </c>
      <c r="BI5">
        <v>52</v>
      </c>
      <c r="BJ5">
        <v>52</v>
      </c>
      <c r="BK5">
        <v>54</v>
      </c>
      <c r="BL5">
        <v>204</v>
      </c>
      <c r="BM5">
        <v>55</v>
      </c>
      <c r="BN5">
        <v>13</v>
      </c>
      <c r="BO5">
        <v>57</v>
      </c>
      <c r="BP5">
        <v>30</v>
      </c>
      <c r="BQ5">
        <v>58</v>
      </c>
      <c r="BR5">
        <v>35</v>
      </c>
      <c r="BS5">
        <v>62</v>
      </c>
      <c r="BT5">
        <v>210</v>
      </c>
      <c r="BU5">
        <v>63</v>
      </c>
      <c r="BV5">
        <v>10</v>
      </c>
      <c r="BW5">
        <v>64</v>
      </c>
      <c r="BX5">
        <v>12</v>
      </c>
      <c r="BY5">
        <v>65</v>
      </c>
      <c r="BZ5">
        <v>25</v>
      </c>
      <c r="CA5">
        <v>68</v>
      </c>
      <c r="CB5">
        <v>195</v>
      </c>
      <c r="CC5">
        <v>73</v>
      </c>
      <c r="CD5">
        <v>17</v>
      </c>
      <c r="CE5">
        <v>74</v>
      </c>
      <c r="CF5">
        <v>16</v>
      </c>
      <c r="CG5">
        <v>75</v>
      </c>
      <c r="CH5">
        <v>31</v>
      </c>
      <c r="CI5">
        <v>78</v>
      </c>
      <c r="CJ5">
        <v>55</v>
      </c>
      <c r="CK5">
        <v>79</v>
      </c>
      <c r="CL5">
        <v>29</v>
      </c>
      <c r="CM5">
        <v>80</v>
      </c>
      <c r="CN5">
        <v>60</v>
      </c>
      <c r="CO5">
        <v>81</v>
      </c>
      <c r="CP5">
        <v>16</v>
      </c>
      <c r="CQ5">
        <v>82</v>
      </c>
      <c r="CR5">
        <v>624</v>
      </c>
      <c r="CS5">
        <v>83</v>
      </c>
      <c r="CT5">
        <v>20</v>
      </c>
      <c r="CU5">
        <v>84</v>
      </c>
      <c r="CV5">
        <v>8</v>
      </c>
      <c r="CW5">
        <v>85</v>
      </c>
      <c r="CX5">
        <v>368</v>
      </c>
      <c r="CY5">
        <v>86</v>
      </c>
      <c r="CZ5">
        <v>64</v>
      </c>
      <c r="DA5">
        <v>87</v>
      </c>
      <c r="DB5">
        <v>75</v>
      </c>
    </row>
    <row r="6" spans="1:106">
      <c r="A6">
        <v>1</v>
      </c>
      <c r="B6" s="2"/>
      <c r="C6">
        <v>4</v>
      </c>
      <c r="D6">
        <v>7</v>
      </c>
      <c r="E6">
        <v>5</v>
      </c>
      <c r="F6" s="2"/>
      <c r="G6">
        <v>6</v>
      </c>
      <c r="H6" s="2"/>
      <c r="I6">
        <v>8</v>
      </c>
      <c r="J6">
        <v>28</v>
      </c>
      <c r="K6">
        <v>11</v>
      </c>
      <c r="L6" s="2"/>
      <c r="M6">
        <v>12</v>
      </c>
      <c r="N6" s="2"/>
      <c r="O6">
        <v>13</v>
      </c>
      <c r="Q6">
        <v>14</v>
      </c>
      <c r="R6">
        <v>16</v>
      </c>
      <c r="S6">
        <v>15</v>
      </c>
      <c r="U6">
        <v>16</v>
      </c>
      <c r="W6">
        <v>17</v>
      </c>
      <c r="X6">
        <v>15</v>
      </c>
      <c r="Y6">
        <v>19</v>
      </c>
      <c r="Z6">
        <v>78</v>
      </c>
      <c r="AA6">
        <v>20</v>
      </c>
      <c r="AB6">
        <v>13</v>
      </c>
      <c r="AC6">
        <v>22</v>
      </c>
      <c r="AD6">
        <v>11</v>
      </c>
      <c r="AE6">
        <v>23</v>
      </c>
      <c r="AF6">
        <v>25</v>
      </c>
      <c r="AG6">
        <v>24</v>
      </c>
      <c r="AH6">
        <v>20</v>
      </c>
      <c r="AI6">
        <v>27</v>
      </c>
      <c r="AJ6">
        <v>16</v>
      </c>
      <c r="AM6">
        <v>30</v>
      </c>
      <c r="AN6">
        <v>11</v>
      </c>
      <c r="AO6">
        <v>32</v>
      </c>
      <c r="AP6">
        <v>18</v>
      </c>
      <c r="AQ6">
        <v>33</v>
      </c>
      <c r="AR6">
        <v>6</v>
      </c>
      <c r="AS6">
        <v>36</v>
      </c>
      <c r="AT6">
        <v>30</v>
      </c>
      <c r="AU6">
        <v>38</v>
      </c>
      <c r="AV6">
        <v>18</v>
      </c>
      <c r="AW6">
        <v>42</v>
      </c>
      <c r="AX6">
        <v>33</v>
      </c>
      <c r="AY6">
        <v>43</v>
      </c>
      <c r="AZ6">
        <v>19</v>
      </c>
      <c r="BA6">
        <v>45</v>
      </c>
      <c r="BB6">
        <v>17</v>
      </c>
      <c r="BC6">
        <v>47</v>
      </c>
      <c r="BD6">
        <v>16</v>
      </c>
      <c r="BE6">
        <v>48</v>
      </c>
      <c r="BF6">
        <v>36</v>
      </c>
      <c r="BG6">
        <v>49</v>
      </c>
      <c r="BH6">
        <v>10</v>
      </c>
      <c r="BI6">
        <v>52</v>
      </c>
      <c r="BJ6">
        <v>22</v>
      </c>
      <c r="BK6">
        <v>54</v>
      </c>
      <c r="BL6">
        <v>15</v>
      </c>
      <c r="BM6">
        <v>55</v>
      </c>
      <c r="BN6">
        <v>11</v>
      </c>
      <c r="BO6">
        <v>57</v>
      </c>
      <c r="BP6">
        <v>13</v>
      </c>
      <c r="BQ6">
        <v>58</v>
      </c>
      <c r="BR6">
        <v>21</v>
      </c>
      <c r="BS6">
        <v>62</v>
      </c>
      <c r="BT6">
        <v>23</v>
      </c>
      <c r="BU6">
        <v>63</v>
      </c>
      <c r="BV6">
        <v>14</v>
      </c>
      <c r="BW6">
        <v>64</v>
      </c>
      <c r="BX6">
        <v>18</v>
      </c>
      <c r="BY6">
        <v>65</v>
      </c>
      <c r="BZ6">
        <v>44</v>
      </c>
      <c r="CA6">
        <v>68</v>
      </c>
      <c r="CB6">
        <v>17</v>
      </c>
      <c r="CC6">
        <v>73</v>
      </c>
      <c r="CD6">
        <v>23</v>
      </c>
      <c r="CE6">
        <v>74</v>
      </c>
      <c r="CF6">
        <v>31</v>
      </c>
      <c r="CG6">
        <v>75</v>
      </c>
      <c r="CH6">
        <v>36</v>
      </c>
      <c r="CI6">
        <v>78</v>
      </c>
      <c r="CJ6">
        <v>36</v>
      </c>
      <c r="CK6">
        <v>79</v>
      </c>
      <c r="CL6">
        <v>23</v>
      </c>
      <c r="CM6">
        <v>80</v>
      </c>
      <c r="CN6">
        <v>22</v>
      </c>
      <c r="CO6">
        <v>81</v>
      </c>
      <c r="CP6">
        <v>17</v>
      </c>
      <c r="CQ6">
        <v>82</v>
      </c>
      <c r="CR6">
        <v>13</v>
      </c>
      <c r="CS6">
        <v>83</v>
      </c>
      <c r="CT6">
        <v>22</v>
      </c>
      <c r="CU6">
        <v>84</v>
      </c>
      <c r="CV6">
        <v>6</v>
      </c>
      <c r="CW6">
        <v>85</v>
      </c>
      <c r="CX6">
        <v>37</v>
      </c>
      <c r="CY6">
        <v>86</v>
      </c>
      <c r="CZ6">
        <v>36</v>
      </c>
      <c r="DA6">
        <v>87</v>
      </c>
      <c r="DB6">
        <v>24</v>
      </c>
    </row>
    <row r="7" spans="1:106">
      <c r="A7">
        <v>1</v>
      </c>
      <c r="B7" s="2"/>
      <c r="C7">
        <v>4</v>
      </c>
      <c r="D7">
        <v>15</v>
      </c>
      <c r="E7">
        <v>5</v>
      </c>
      <c r="F7" s="2"/>
      <c r="G7">
        <v>6</v>
      </c>
      <c r="H7" s="2"/>
      <c r="I7">
        <v>8</v>
      </c>
      <c r="J7">
        <v>28</v>
      </c>
      <c r="K7">
        <v>11</v>
      </c>
      <c r="L7" s="2"/>
      <c r="M7">
        <v>12</v>
      </c>
      <c r="N7" s="2"/>
      <c r="O7">
        <v>13</v>
      </c>
      <c r="Q7">
        <v>14</v>
      </c>
      <c r="R7">
        <v>11</v>
      </c>
      <c r="S7">
        <v>15</v>
      </c>
      <c r="U7">
        <v>16</v>
      </c>
      <c r="W7">
        <v>17</v>
      </c>
      <c r="X7">
        <v>22</v>
      </c>
      <c r="Y7">
        <v>19</v>
      </c>
      <c r="Z7">
        <v>12</v>
      </c>
      <c r="AA7">
        <v>20</v>
      </c>
      <c r="AB7">
        <v>10</v>
      </c>
      <c r="AC7">
        <v>22</v>
      </c>
      <c r="AD7">
        <v>10</v>
      </c>
      <c r="AE7">
        <v>23</v>
      </c>
      <c r="AF7">
        <v>15</v>
      </c>
      <c r="AG7">
        <v>24</v>
      </c>
      <c r="AH7">
        <v>17</v>
      </c>
      <c r="AI7">
        <v>27</v>
      </c>
      <c r="AJ7">
        <v>10</v>
      </c>
      <c r="AM7">
        <v>30</v>
      </c>
      <c r="AN7">
        <v>8</v>
      </c>
      <c r="AO7">
        <v>32</v>
      </c>
      <c r="AP7">
        <v>19</v>
      </c>
      <c r="AQ7">
        <v>33</v>
      </c>
      <c r="AR7">
        <v>19</v>
      </c>
      <c r="AS7">
        <v>36</v>
      </c>
      <c r="AT7">
        <v>15</v>
      </c>
      <c r="AU7">
        <v>38</v>
      </c>
      <c r="AV7">
        <v>15</v>
      </c>
      <c r="AW7">
        <v>42</v>
      </c>
      <c r="AX7">
        <v>17</v>
      </c>
      <c r="AY7">
        <v>43</v>
      </c>
      <c r="AZ7">
        <v>13</v>
      </c>
      <c r="BA7">
        <v>45</v>
      </c>
      <c r="BB7">
        <v>10</v>
      </c>
      <c r="BC7">
        <v>47</v>
      </c>
      <c r="BD7">
        <v>34</v>
      </c>
      <c r="BE7">
        <v>48</v>
      </c>
      <c r="BF7">
        <v>18</v>
      </c>
      <c r="BG7">
        <v>49</v>
      </c>
      <c r="BH7">
        <v>6</v>
      </c>
      <c r="BI7">
        <v>52</v>
      </c>
      <c r="BJ7">
        <v>13</v>
      </c>
      <c r="BK7">
        <v>54</v>
      </c>
      <c r="BL7">
        <v>43</v>
      </c>
      <c r="BM7">
        <v>55</v>
      </c>
      <c r="BN7">
        <v>10</v>
      </c>
      <c r="BO7">
        <v>57</v>
      </c>
      <c r="BP7">
        <v>32</v>
      </c>
      <c r="BQ7">
        <v>58</v>
      </c>
      <c r="BR7">
        <v>26</v>
      </c>
      <c r="BS7">
        <v>62</v>
      </c>
      <c r="BT7">
        <v>13</v>
      </c>
      <c r="BU7">
        <v>63</v>
      </c>
      <c r="BV7">
        <v>8</v>
      </c>
      <c r="BW7">
        <v>64</v>
      </c>
      <c r="BX7">
        <v>8</v>
      </c>
      <c r="BY7">
        <v>65</v>
      </c>
      <c r="BZ7">
        <v>12</v>
      </c>
      <c r="CA7">
        <v>68</v>
      </c>
      <c r="CB7">
        <v>128</v>
      </c>
      <c r="CC7">
        <v>73</v>
      </c>
      <c r="CD7">
        <v>12</v>
      </c>
      <c r="CE7">
        <v>74</v>
      </c>
      <c r="CF7">
        <v>40</v>
      </c>
      <c r="CG7">
        <v>75</v>
      </c>
      <c r="CH7">
        <v>76</v>
      </c>
      <c r="CI7">
        <v>78</v>
      </c>
      <c r="CJ7">
        <v>27</v>
      </c>
      <c r="CK7">
        <v>79</v>
      </c>
      <c r="CL7">
        <v>18</v>
      </c>
      <c r="CM7">
        <v>80</v>
      </c>
      <c r="CN7">
        <v>12</v>
      </c>
      <c r="CO7">
        <v>81</v>
      </c>
      <c r="CP7">
        <v>16</v>
      </c>
      <c r="CQ7">
        <v>82</v>
      </c>
      <c r="CR7">
        <v>44</v>
      </c>
      <c r="CS7">
        <v>83</v>
      </c>
      <c r="CT7">
        <v>22</v>
      </c>
      <c r="CU7">
        <v>84</v>
      </c>
      <c r="CV7">
        <v>9</v>
      </c>
      <c r="CW7">
        <v>85</v>
      </c>
      <c r="CX7">
        <v>20</v>
      </c>
      <c r="CY7">
        <v>86</v>
      </c>
      <c r="CZ7">
        <v>9</v>
      </c>
      <c r="DA7">
        <v>87</v>
      </c>
      <c r="DB7">
        <v>17</v>
      </c>
    </row>
    <row r="8" spans="1:106">
      <c r="A8">
        <v>1</v>
      </c>
      <c r="B8" s="2"/>
      <c r="C8">
        <v>4</v>
      </c>
      <c r="D8">
        <v>11</v>
      </c>
      <c r="E8">
        <v>5</v>
      </c>
      <c r="F8" s="2"/>
      <c r="G8">
        <v>6</v>
      </c>
      <c r="H8" s="2"/>
      <c r="I8">
        <v>8</v>
      </c>
      <c r="J8">
        <v>17</v>
      </c>
      <c r="K8">
        <v>11</v>
      </c>
      <c r="L8" s="2"/>
      <c r="M8">
        <v>12</v>
      </c>
      <c r="N8" s="2"/>
      <c r="O8">
        <v>13</v>
      </c>
      <c r="Q8">
        <v>14</v>
      </c>
      <c r="R8">
        <v>7</v>
      </c>
      <c r="S8">
        <v>15</v>
      </c>
      <c r="U8">
        <v>16</v>
      </c>
      <c r="W8">
        <v>17</v>
      </c>
      <c r="X8">
        <v>21</v>
      </c>
      <c r="Y8">
        <v>19</v>
      </c>
      <c r="Z8">
        <v>16</v>
      </c>
      <c r="AA8">
        <v>20</v>
      </c>
      <c r="AB8">
        <v>13</v>
      </c>
      <c r="AC8">
        <v>22</v>
      </c>
      <c r="AD8">
        <v>11</v>
      </c>
      <c r="AE8">
        <v>23</v>
      </c>
      <c r="AF8">
        <v>16</v>
      </c>
      <c r="AG8">
        <v>24</v>
      </c>
      <c r="AH8">
        <v>21</v>
      </c>
      <c r="AI8">
        <v>27</v>
      </c>
      <c r="AJ8">
        <v>135</v>
      </c>
      <c r="AM8">
        <v>30</v>
      </c>
      <c r="AN8">
        <v>6</v>
      </c>
      <c r="AO8">
        <v>32</v>
      </c>
      <c r="AP8">
        <v>17</v>
      </c>
      <c r="AQ8">
        <v>33</v>
      </c>
      <c r="AR8">
        <v>14</v>
      </c>
      <c r="AS8">
        <v>36</v>
      </c>
      <c r="AT8">
        <v>17</v>
      </c>
      <c r="AU8">
        <v>38</v>
      </c>
      <c r="AV8">
        <v>11</v>
      </c>
      <c r="AW8">
        <v>42</v>
      </c>
      <c r="AX8">
        <v>12</v>
      </c>
      <c r="AY8">
        <v>43</v>
      </c>
      <c r="AZ8">
        <v>14</v>
      </c>
      <c r="BA8">
        <v>45</v>
      </c>
      <c r="BB8">
        <v>8</v>
      </c>
      <c r="BC8">
        <v>47</v>
      </c>
      <c r="BD8">
        <v>21</v>
      </c>
      <c r="BE8">
        <v>48</v>
      </c>
      <c r="BF8">
        <v>18</v>
      </c>
      <c r="BG8">
        <v>49</v>
      </c>
      <c r="BH8">
        <v>8</v>
      </c>
      <c r="BI8">
        <v>52</v>
      </c>
      <c r="BJ8">
        <v>14</v>
      </c>
      <c r="BK8">
        <v>54</v>
      </c>
      <c r="BL8">
        <v>12</v>
      </c>
      <c r="BM8">
        <v>55</v>
      </c>
      <c r="BN8">
        <v>10</v>
      </c>
      <c r="BO8">
        <v>57</v>
      </c>
      <c r="BP8">
        <v>12</v>
      </c>
      <c r="BQ8">
        <v>58</v>
      </c>
      <c r="BR8">
        <v>25</v>
      </c>
      <c r="BS8">
        <v>62</v>
      </c>
      <c r="BT8">
        <v>13</v>
      </c>
      <c r="BU8">
        <v>63</v>
      </c>
      <c r="BV8">
        <v>7</v>
      </c>
      <c r="BW8">
        <v>64</v>
      </c>
      <c r="BX8">
        <v>20</v>
      </c>
      <c r="BY8">
        <v>65</v>
      </c>
      <c r="BZ8">
        <v>9</v>
      </c>
      <c r="CA8">
        <v>68</v>
      </c>
      <c r="CB8">
        <v>24</v>
      </c>
      <c r="CC8">
        <v>73</v>
      </c>
      <c r="CD8">
        <v>18</v>
      </c>
      <c r="CE8">
        <v>74</v>
      </c>
      <c r="CF8">
        <v>11</v>
      </c>
      <c r="CG8">
        <v>75</v>
      </c>
      <c r="CH8">
        <v>22</v>
      </c>
      <c r="CI8">
        <v>78</v>
      </c>
      <c r="CJ8">
        <v>21</v>
      </c>
      <c r="CK8">
        <v>79</v>
      </c>
      <c r="CL8">
        <v>10</v>
      </c>
      <c r="CM8">
        <v>80</v>
      </c>
      <c r="CN8">
        <v>8</v>
      </c>
      <c r="CO8">
        <v>81</v>
      </c>
      <c r="CP8">
        <v>11</v>
      </c>
      <c r="CQ8">
        <v>82</v>
      </c>
      <c r="CR8">
        <v>11</v>
      </c>
      <c r="CS8">
        <v>83</v>
      </c>
      <c r="CT8">
        <v>23</v>
      </c>
      <c r="CU8">
        <v>84</v>
      </c>
      <c r="CV8">
        <v>7</v>
      </c>
      <c r="CW8">
        <v>85</v>
      </c>
      <c r="CX8">
        <v>20</v>
      </c>
      <c r="CY8">
        <v>86</v>
      </c>
      <c r="CZ8">
        <v>17</v>
      </c>
      <c r="DA8">
        <v>87</v>
      </c>
      <c r="DB8">
        <v>17</v>
      </c>
    </row>
    <row r="9" spans="1:106">
      <c r="A9">
        <v>1</v>
      </c>
      <c r="B9" s="2"/>
      <c r="C9">
        <v>4</v>
      </c>
      <c r="D9">
        <v>8</v>
      </c>
      <c r="E9">
        <v>5</v>
      </c>
      <c r="F9" s="2"/>
      <c r="G9">
        <v>6</v>
      </c>
      <c r="H9" s="2"/>
      <c r="I9">
        <v>8</v>
      </c>
      <c r="J9">
        <v>24</v>
      </c>
      <c r="K9">
        <v>11</v>
      </c>
      <c r="L9" s="2"/>
      <c r="M9">
        <v>12</v>
      </c>
      <c r="N9" s="2"/>
      <c r="O9">
        <v>13</v>
      </c>
      <c r="Q9">
        <v>14</v>
      </c>
      <c r="R9">
        <v>10</v>
      </c>
      <c r="S9">
        <v>15</v>
      </c>
      <c r="U9">
        <v>16</v>
      </c>
      <c r="W9">
        <v>17</v>
      </c>
      <c r="X9">
        <v>9</v>
      </c>
      <c r="Y9">
        <v>19</v>
      </c>
      <c r="Z9">
        <v>13</v>
      </c>
      <c r="AA9">
        <v>20</v>
      </c>
      <c r="AB9">
        <v>11</v>
      </c>
      <c r="AC9">
        <v>22</v>
      </c>
      <c r="AD9">
        <v>12</v>
      </c>
      <c r="AE9">
        <v>23</v>
      </c>
      <c r="AF9">
        <v>28</v>
      </c>
      <c r="AG9">
        <v>24</v>
      </c>
      <c r="AH9">
        <v>10</v>
      </c>
      <c r="AI9">
        <v>27</v>
      </c>
      <c r="AJ9">
        <v>83</v>
      </c>
      <c r="AM9">
        <v>30</v>
      </c>
      <c r="AN9">
        <v>9</v>
      </c>
      <c r="AO9">
        <v>32</v>
      </c>
      <c r="AP9">
        <v>18</v>
      </c>
      <c r="AQ9">
        <v>33</v>
      </c>
      <c r="AR9">
        <v>15</v>
      </c>
      <c r="AS9">
        <v>36</v>
      </c>
      <c r="AT9">
        <v>15</v>
      </c>
      <c r="AU9">
        <v>38</v>
      </c>
      <c r="AV9">
        <v>16</v>
      </c>
      <c r="AW9">
        <v>42</v>
      </c>
      <c r="AX9">
        <v>22</v>
      </c>
      <c r="AY9">
        <v>43</v>
      </c>
      <c r="AZ9">
        <v>12</v>
      </c>
      <c r="BA9">
        <v>45</v>
      </c>
      <c r="BB9">
        <v>14</v>
      </c>
      <c r="BC9">
        <v>47</v>
      </c>
      <c r="BD9">
        <v>10</v>
      </c>
      <c r="BE9">
        <v>48</v>
      </c>
      <c r="BF9">
        <v>18</v>
      </c>
      <c r="BG9">
        <v>49</v>
      </c>
      <c r="BH9">
        <v>10</v>
      </c>
      <c r="BI9">
        <v>52</v>
      </c>
      <c r="BJ9">
        <v>14</v>
      </c>
      <c r="BK9">
        <v>54</v>
      </c>
      <c r="BL9">
        <v>15</v>
      </c>
      <c r="BM9">
        <v>55</v>
      </c>
      <c r="BN9">
        <v>7</v>
      </c>
      <c r="BO9">
        <v>57</v>
      </c>
      <c r="BP9">
        <v>13</v>
      </c>
      <c r="BQ9">
        <v>58</v>
      </c>
      <c r="BR9">
        <v>18</v>
      </c>
      <c r="BS9">
        <v>62</v>
      </c>
      <c r="BT9">
        <v>102</v>
      </c>
      <c r="BU9">
        <v>63</v>
      </c>
      <c r="BV9">
        <v>6</v>
      </c>
      <c r="BW9">
        <v>64</v>
      </c>
      <c r="BX9">
        <v>15</v>
      </c>
      <c r="BY9">
        <v>65</v>
      </c>
      <c r="BZ9">
        <v>14</v>
      </c>
      <c r="CA9">
        <v>68</v>
      </c>
      <c r="CB9">
        <v>12</v>
      </c>
      <c r="CC9">
        <v>73</v>
      </c>
      <c r="CD9">
        <v>10</v>
      </c>
      <c r="CE9">
        <v>74</v>
      </c>
      <c r="CF9">
        <v>20</v>
      </c>
      <c r="CG9">
        <v>75</v>
      </c>
      <c r="CH9">
        <v>25</v>
      </c>
      <c r="CI9">
        <v>78</v>
      </c>
      <c r="CJ9">
        <v>34</v>
      </c>
      <c r="CK9">
        <v>79</v>
      </c>
      <c r="CL9">
        <v>12</v>
      </c>
      <c r="CM9">
        <v>80</v>
      </c>
      <c r="CN9">
        <v>15</v>
      </c>
      <c r="CO9">
        <v>81</v>
      </c>
      <c r="CP9">
        <v>14</v>
      </c>
      <c r="CQ9">
        <v>82</v>
      </c>
      <c r="CR9">
        <v>11</v>
      </c>
      <c r="CS9">
        <v>83</v>
      </c>
      <c r="CT9">
        <v>31</v>
      </c>
      <c r="CU9">
        <v>84</v>
      </c>
      <c r="CV9">
        <v>6</v>
      </c>
      <c r="CW9">
        <v>85</v>
      </c>
      <c r="CX9">
        <v>17</v>
      </c>
      <c r="CY9">
        <v>86</v>
      </c>
      <c r="CZ9">
        <v>10</v>
      </c>
      <c r="DA9">
        <v>87</v>
      </c>
      <c r="DB9">
        <v>13</v>
      </c>
    </row>
    <row r="10" spans="1:106">
      <c r="A10">
        <v>1</v>
      </c>
      <c r="B10" s="2"/>
      <c r="C10">
        <v>4</v>
      </c>
      <c r="D10">
        <v>6</v>
      </c>
      <c r="E10">
        <v>5</v>
      </c>
      <c r="F10" s="2"/>
      <c r="G10">
        <v>6</v>
      </c>
      <c r="H10" s="2"/>
      <c r="I10">
        <v>8</v>
      </c>
      <c r="J10">
        <v>12</v>
      </c>
      <c r="K10">
        <v>11</v>
      </c>
      <c r="L10" s="2"/>
      <c r="M10">
        <v>12</v>
      </c>
      <c r="N10" s="2"/>
      <c r="O10">
        <v>13</v>
      </c>
      <c r="Q10">
        <v>14</v>
      </c>
      <c r="R10">
        <v>13</v>
      </c>
      <c r="S10">
        <v>15</v>
      </c>
      <c r="U10">
        <v>16</v>
      </c>
      <c r="W10">
        <v>17</v>
      </c>
      <c r="X10">
        <v>6</v>
      </c>
      <c r="Y10">
        <v>19</v>
      </c>
      <c r="Z10">
        <v>59</v>
      </c>
      <c r="AA10">
        <v>20</v>
      </c>
      <c r="AB10">
        <v>6</v>
      </c>
      <c r="AC10">
        <v>22</v>
      </c>
      <c r="AD10">
        <v>14</v>
      </c>
      <c r="AE10">
        <v>23</v>
      </c>
      <c r="AF10">
        <v>11</v>
      </c>
      <c r="AG10">
        <v>24</v>
      </c>
      <c r="AH10">
        <v>15</v>
      </c>
      <c r="AI10">
        <v>27</v>
      </c>
      <c r="AJ10">
        <v>53</v>
      </c>
      <c r="AM10">
        <v>30</v>
      </c>
      <c r="AN10">
        <v>7</v>
      </c>
      <c r="AO10">
        <v>32</v>
      </c>
      <c r="AP10">
        <v>27</v>
      </c>
      <c r="AQ10">
        <v>33</v>
      </c>
      <c r="AR10">
        <v>81</v>
      </c>
      <c r="AS10">
        <v>36</v>
      </c>
      <c r="AT10">
        <v>16</v>
      </c>
      <c r="AU10">
        <v>38</v>
      </c>
      <c r="AV10">
        <v>157</v>
      </c>
      <c r="AW10">
        <v>42</v>
      </c>
      <c r="AX10">
        <v>9</v>
      </c>
      <c r="AY10">
        <v>43</v>
      </c>
      <c r="AZ10">
        <v>9</v>
      </c>
      <c r="BA10">
        <v>45</v>
      </c>
      <c r="BB10">
        <v>10</v>
      </c>
      <c r="BC10">
        <v>47</v>
      </c>
      <c r="BD10">
        <v>13</v>
      </c>
      <c r="BE10">
        <v>48</v>
      </c>
      <c r="BF10">
        <v>15</v>
      </c>
      <c r="BG10">
        <v>49</v>
      </c>
      <c r="BH10">
        <v>10</v>
      </c>
      <c r="BI10">
        <v>52</v>
      </c>
      <c r="BJ10">
        <v>18</v>
      </c>
      <c r="BK10">
        <v>54</v>
      </c>
      <c r="BL10">
        <v>13</v>
      </c>
      <c r="BM10">
        <v>55</v>
      </c>
      <c r="BN10">
        <v>8</v>
      </c>
      <c r="BO10">
        <v>57</v>
      </c>
      <c r="BP10">
        <v>11</v>
      </c>
      <c r="BQ10">
        <v>58</v>
      </c>
      <c r="BR10">
        <v>20</v>
      </c>
      <c r="BS10">
        <v>62</v>
      </c>
      <c r="BT10">
        <v>67</v>
      </c>
      <c r="BU10">
        <v>63</v>
      </c>
      <c r="BV10">
        <v>5</v>
      </c>
      <c r="BW10">
        <v>64</v>
      </c>
      <c r="BX10">
        <v>6</v>
      </c>
      <c r="BY10">
        <v>65</v>
      </c>
      <c r="BZ10">
        <v>15</v>
      </c>
      <c r="CA10">
        <v>68</v>
      </c>
      <c r="CB10">
        <v>10</v>
      </c>
      <c r="CC10">
        <v>73</v>
      </c>
      <c r="CD10">
        <v>12</v>
      </c>
      <c r="CE10">
        <v>74</v>
      </c>
      <c r="CF10">
        <v>16</v>
      </c>
      <c r="CG10">
        <v>75</v>
      </c>
      <c r="CH10">
        <v>34</v>
      </c>
      <c r="CI10">
        <v>78</v>
      </c>
      <c r="CJ10">
        <v>13</v>
      </c>
      <c r="CK10">
        <v>79</v>
      </c>
      <c r="CL10">
        <v>21</v>
      </c>
      <c r="CM10">
        <v>80</v>
      </c>
      <c r="CN10">
        <v>15</v>
      </c>
      <c r="CO10">
        <v>81</v>
      </c>
      <c r="CP10">
        <v>17</v>
      </c>
      <c r="CQ10">
        <v>82</v>
      </c>
      <c r="CR10">
        <v>8</v>
      </c>
      <c r="CS10">
        <v>83</v>
      </c>
      <c r="CT10">
        <v>16</v>
      </c>
      <c r="CU10">
        <v>84</v>
      </c>
      <c r="CV10">
        <v>22</v>
      </c>
      <c r="CW10">
        <v>85</v>
      </c>
      <c r="CX10">
        <v>18</v>
      </c>
      <c r="CY10">
        <v>86</v>
      </c>
      <c r="CZ10">
        <v>8</v>
      </c>
      <c r="DA10">
        <v>87</v>
      </c>
      <c r="DB10">
        <v>15</v>
      </c>
    </row>
    <row r="11" spans="1:106">
      <c r="A11">
        <v>1</v>
      </c>
      <c r="B11" s="2"/>
      <c r="C11">
        <v>4</v>
      </c>
      <c r="D11">
        <v>16</v>
      </c>
      <c r="F11" s="2"/>
      <c r="G11">
        <v>6</v>
      </c>
      <c r="H11" s="2"/>
      <c r="I11">
        <v>8</v>
      </c>
      <c r="J11">
        <v>24</v>
      </c>
      <c r="K11">
        <v>11</v>
      </c>
      <c r="L11" s="2"/>
      <c r="M11">
        <v>12</v>
      </c>
      <c r="N11" s="2"/>
      <c r="O11">
        <v>13</v>
      </c>
      <c r="Q11">
        <v>14</v>
      </c>
      <c r="R11">
        <v>6</v>
      </c>
      <c r="S11">
        <v>15</v>
      </c>
      <c r="U11">
        <v>16</v>
      </c>
      <c r="W11">
        <v>17</v>
      </c>
      <c r="X11">
        <v>8</v>
      </c>
      <c r="Y11">
        <v>19</v>
      </c>
      <c r="Z11">
        <v>8</v>
      </c>
      <c r="AA11">
        <v>20</v>
      </c>
      <c r="AB11">
        <v>6</v>
      </c>
      <c r="AC11">
        <v>22</v>
      </c>
      <c r="AD11">
        <v>26</v>
      </c>
      <c r="AE11">
        <v>23</v>
      </c>
      <c r="AF11">
        <v>8</v>
      </c>
      <c r="AG11">
        <v>24</v>
      </c>
      <c r="AH11">
        <v>6</v>
      </c>
      <c r="AI11">
        <v>27</v>
      </c>
      <c r="AJ11">
        <v>29</v>
      </c>
      <c r="AM11">
        <v>30</v>
      </c>
      <c r="AN11">
        <v>5</v>
      </c>
      <c r="AO11">
        <v>32</v>
      </c>
      <c r="AP11">
        <v>29</v>
      </c>
      <c r="AQ11">
        <v>33</v>
      </c>
      <c r="AR11">
        <v>16</v>
      </c>
      <c r="AS11">
        <v>36</v>
      </c>
      <c r="AT11">
        <v>13</v>
      </c>
      <c r="AU11">
        <v>38</v>
      </c>
      <c r="AV11">
        <v>15</v>
      </c>
      <c r="AW11">
        <v>42</v>
      </c>
      <c r="AX11">
        <v>9</v>
      </c>
      <c r="AY11">
        <v>43</v>
      </c>
      <c r="AZ11">
        <v>14</v>
      </c>
      <c r="BA11">
        <v>45</v>
      </c>
      <c r="BB11">
        <v>14</v>
      </c>
      <c r="BC11">
        <v>47</v>
      </c>
      <c r="BD11">
        <v>22</v>
      </c>
      <c r="BE11">
        <v>48</v>
      </c>
      <c r="BF11">
        <v>11</v>
      </c>
      <c r="BG11">
        <v>49</v>
      </c>
      <c r="BH11">
        <v>26</v>
      </c>
      <c r="BI11">
        <v>52</v>
      </c>
      <c r="BJ11">
        <v>8</v>
      </c>
      <c r="BK11">
        <v>54</v>
      </c>
      <c r="BL11">
        <v>8</v>
      </c>
      <c r="BM11">
        <v>55</v>
      </c>
      <c r="BN11">
        <v>7</v>
      </c>
      <c r="BO11">
        <v>57</v>
      </c>
      <c r="BP11">
        <v>154</v>
      </c>
      <c r="BQ11">
        <v>58</v>
      </c>
      <c r="BR11">
        <v>8</v>
      </c>
      <c r="BS11">
        <v>62</v>
      </c>
      <c r="BT11">
        <v>146</v>
      </c>
      <c r="BU11">
        <v>63</v>
      </c>
      <c r="BV11">
        <v>6</v>
      </c>
      <c r="BW11">
        <v>64</v>
      </c>
      <c r="BX11">
        <v>6</v>
      </c>
      <c r="BY11">
        <v>65</v>
      </c>
      <c r="BZ11">
        <v>10</v>
      </c>
      <c r="CA11">
        <v>68</v>
      </c>
      <c r="CB11">
        <v>8</v>
      </c>
      <c r="CC11">
        <v>73</v>
      </c>
      <c r="CD11">
        <v>8</v>
      </c>
      <c r="CE11">
        <v>74</v>
      </c>
      <c r="CF11">
        <v>9</v>
      </c>
      <c r="CG11">
        <v>75</v>
      </c>
      <c r="CH11">
        <v>9</v>
      </c>
      <c r="CI11">
        <v>78</v>
      </c>
      <c r="CJ11">
        <v>18</v>
      </c>
      <c r="CK11">
        <v>79</v>
      </c>
      <c r="CL11">
        <v>13</v>
      </c>
      <c r="CM11">
        <v>80</v>
      </c>
      <c r="CN11">
        <v>20</v>
      </c>
      <c r="CO11">
        <v>81</v>
      </c>
      <c r="CP11">
        <v>11</v>
      </c>
      <c r="CQ11">
        <v>82</v>
      </c>
      <c r="CR11">
        <v>18</v>
      </c>
      <c r="CS11">
        <v>83</v>
      </c>
      <c r="CT11">
        <v>16</v>
      </c>
      <c r="CU11">
        <v>84</v>
      </c>
      <c r="CV11">
        <v>12</v>
      </c>
      <c r="CW11">
        <v>85</v>
      </c>
      <c r="CX11">
        <v>36</v>
      </c>
      <c r="CY11">
        <v>86</v>
      </c>
      <c r="CZ11">
        <v>5</v>
      </c>
      <c r="DA11">
        <v>87</v>
      </c>
      <c r="DB11">
        <v>6</v>
      </c>
    </row>
    <row r="12" spans="1:106">
      <c r="A12">
        <v>1</v>
      </c>
      <c r="B12" s="2"/>
      <c r="C12">
        <v>4</v>
      </c>
      <c r="D12">
        <v>12</v>
      </c>
      <c r="F12" s="2"/>
      <c r="G12">
        <v>6</v>
      </c>
      <c r="H12" s="2"/>
      <c r="I12">
        <v>8</v>
      </c>
      <c r="J12">
        <v>11</v>
      </c>
      <c r="K12">
        <v>11</v>
      </c>
      <c r="L12" s="2"/>
      <c r="M12">
        <v>12</v>
      </c>
      <c r="N12" s="2"/>
      <c r="O12">
        <v>13</v>
      </c>
      <c r="Q12">
        <v>14</v>
      </c>
      <c r="R12">
        <v>5</v>
      </c>
      <c r="S12">
        <v>15</v>
      </c>
      <c r="U12">
        <v>16</v>
      </c>
      <c r="W12">
        <v>17</v>
      </c>
      <c r="X12">
        <v>7</v>
      </c>
      <c r="Y12">
        <v>19</v>
      </c>
      <c r="Z12">
        <v>6</v>
      </c>
      <c r="AA12">
        <v>20</v>
      </c>
      <c r="AB12">
        <v>5</v>
      </c>
      <c r="AC12">
        <v>22</v>
      </c>
      <c r="AD12">
        <v>10</v>
      </c>
      <c r="AE12">
        <v>23</v>
      </c>
      <c r="AF12">
        <v>7</v>
      </c>
      <c r="AG12">
        <v>24</v>
      </c>
      <c r="AH12">
        <v>6</v>
      </c>
      <c r="AI12">
        <v>27</v>
      </c>
      <c r="AJ12">
        <v>21</v>
      </c>
      <c r="AM12">
        <v>30</v>
      </c>
      <c r="AN12">
        <v>5</v>
      </c>
      <c r="AO12">
        <v>32</v>
      </c>
      <c r="AP12">
        <v>16</v>
      </c>
      <c r="AQ12">
        <v>33</v>
      </c>
      <c r="AR12">
        <v>17</v>
      </c>
      <c r="AS12">
        <v>36</v>
      </c>
      <c r="AT12">
        <v>20</v>
      </c>
      <c r="AU12">
        <v>38</v>
      </c>
      <c r="AV12">
        <v>159</v>
      </c>
      <c r="AW12">
        <v>42</v>
      </c>
      <c r="AX12">
        <v>8</v>
      </c>
      <c r="AY12">
        <v>43</v>
      </c>
      <c r="AZ12">
        <v>9</v>
      </c>
      <c r="BA12">
        <v>45</v>
      </c>
      <c r="BB12">
        <v>9</v>
      </c>
      <c r="BC12">
        <v>47</v>
      </c>
      <c r="BD12">
        <v>8</v>
      </c>
      <c r="BE12">
        <v>48</v>
      </c>
      <c r="BF12">
        <v>6</v>
      </c>
      <c r="BG12">
        <v>49</v>
      </c>
      <c r="BH12">
        <v>6</v>
      </c>
      <c r="BI12">
        <v>52</v>
      </c>
      <c r="BJ12">
        <v>6</v>
      </c>
      <c r="BK12">
        <v>54</v>
      </c>
      <c r="BL12">
        <v>43</v>
      </c>
      <c r="BM12">
        <v>55</v>
      </c>
      <c r="BN12">
        <v>5</v>
      </c>
      <c r="BO12">
        <v>57</v>
      </c>
      <c r="BP12">
        <v>21</v>
      </c>
      <c r="BQ12">
        <v>58</v>
      </c>
      <c r="BR12">
        <v>7</v>
      </c>
      <c r="BS12">
        <v>62</v>
      </c>
      <c r="BT12">
        <v>65</v>
      </c>
      <c r="BU12">
        <v>63</v>
      </c>
      <c r="BV12">
        <v>16</v>
      </c>
      <c r="BW12">
        <v>64</v>
      </c>
      <c r="BX12">
        <v>50</v>
      </c>
      <c r="BY12">
        <v>65</v>
      </c>
      <c r="BZ12">
        <v>9</v>
      </c>
      <c r="CA12">
        <v>68</v>
      </c>
      <c r="CB12">
        <v>8</v>
      </c>
      <c r="CC12">
        <v>73</v>
      </c>
      <c r="CD12">
        <v>9</v>
      </c>
      <c r="CE12">
        <v>74</v>
      </c>
      <c r="CF12">
        <v>8</v>
      </c>
      <c r="CG12">
        <v>75</v>
      </c>
      <c r="CH12">
        <v>12</v>
      </c>
      <c r="CI12">
        <v>78</v>
      </c>
      <c r="CJ12">
        <v>8</v>
      </c>
      <c r="CK12">
        <v>79</v>
      </c>
      <c r="CL12">
        <v>12</v>
      </c>
      <c r="CM12">
        <v>80</v>
      </c>
      <c r="CN12">
        <v>17</v>
      </c>
      <c r="CO12">
        <v>81</v>
      </c>
      <c r="CP12">
        <v>11</v>
      </c>
      <c r="CQ12">
        <v>82</v>
      </c>
      <c r="CR12">
        <v>9</v>
      </c>
      <c r="CS12">
        <v>83</v>
      </c>
      <c r="CT12">
        <v>38</v>
      </c>
      <c r="CU12">
        <v>84</v>
      </c>
      <c r="CV12">
        <v>6</v>
      </c>
      <c r="CW12">
        <v>85</v>
      </c>
      <c r="CX12">
        <v>29</v>
      </c>
      <c r="CY12">
        <v>86</v>
      </c>
      <c r="CZ12">
        <v>22</v>
      </c>
      <c r="DA12">
        <v>87</v>
      </c>
      <c r="DB12">
        <v>8</v>
      </c>
    </row>
    <row r="13" spans="1:106">
      <c r="B13" s="2"/>
      <c r="C13">
        <v>4</v>
      </c>
      <c r="D13">
        <v>7</v>
      </c>
      <c r="F13" s="2"/>
      <c r="G13">
        <v>6</v>
      </c>
      <c r="H13" s="2"/>
      <c r="I13">
        <v>8</v>
      </c>
      <c r="J13">
        <v>11</v>
      </c>
      <c r="K13">
        <v>11</v>
      </c>
      <c r="L13" s="2"/>
      <c r="M13">
        <v>12</v>
      </c>
      <c r="N13" s="2"/>
      <c r="O13">
        <v>13</v>
      </c>
      <c r="Q13">
        <v>14</v>
      </c>
      <c r="R13">
        <v>62</v>
      </c>
      <c r="S13">
        <v>15</v>
      </c>
      <c r="U13">
        <v>16</v>
      </c>
      <c r="W13">
        <v>17</v>
      </c>
      <c r="X13">
        <v>6</v>
      </c>
      <c r="Y13">
        <v>19</v>
      </c>
      <c r="Z13">
        <v>10</v>
      </c>
      <c r="AA13">
        <v>20</v>
      </c>
      <c r="AB13">
        <v>38</v>
      </c>
      <c r="AC13">
        <v>22</v>
      </c>
      <c r="AD13">
        <v>71</v>
      </c>
      <c r="AE13">
        <v>23</v>
      </c>
      <c r="AF13">
        <v>15</v>
      </c>
      <c r="AG13">
        <v>24</v>
      </c>
      <c r="AH13">
        <v>68</v>
      </c>
      <c r="AI13">
        <v>27</v>
      </c>
      <c r="AJ13">
        <v>52</v>
      </c>
      <c r="AM13">
        <v>30</v>
      </c>
      <c r="AN13">
        <v>26</v>
      </c>
      <c r="AO13">
        <v>32</v>
      </c>
      <c r="AP13">
        <v>33</v>
      </c>
      <c r="AQ13">
        <v>33</v>
      </c>
      <c r="AR13">
        <v>14</v>
      </c>
      <c r="AS13">
        <v>36</v>
      </c>
      <c r="AT13">
        <v>23</v>
      </c>
      <c r="AU13">
        <v>38</v>
      </c>
      <c r="AV13">
        <v>217</v>
      </c>
      <c r="AW13">
        <v>42</v>
      </c>
      <c r="AX13">
        <v>8</v>
      </c>
      <c r="AY13">
        <v>43</v>
      </c>
      <c r="AZ13">
        <v>9</v>
      </c>
      <c r="BA13">
        <v>45</v>
      </c>
      <c r="BB13">
        <v>15</v>
      </c>
      <c r="BC13">
        <v>47</v>
      </c>
      <c r="BD13">
        <v>12</v>
      </c>
      <c r="BE13">
        <v>48</v>
      </c>
      <c r="BF13">
        <v>11</v>
      </c>
      <c r="BG13">
        <v>49</v>
      </c>
      <c r="BH13">
        <v>15</v>
      </c>
      <c r="BI13">
        <v>52</v>
      </c>
      <c r="BJ13">
        <v>40</v>
      </c>
      <c r="BK13">
        <v>54</v>
      </c>
      <c r="BL13">
        <v>12</v>
      </c>
      <c r="BM13">
        <v>55</v>
      </c>
      <c r="BN13">
        <v>8</v>
      </c>
      <c r="BO13">
        <v>57</v>
      </c>
      <c r="BP13">
        <v>10</v>
      </c>
      <c r="BQ13">
        <v>58</v>
      </c>
      <c r="BR13">
        <v>71</v>
      </c>
      <c r="BS13">
        <v>62</v>
      </c>
      <c r="BT13">
        <v>132</v>
      </c>
      <c r="BU13">
        <v>63</v>
      </c>
      <c r="BV13">
        <v>16</v>
      </c>
      <c r="BW13">
        <v>64</v>
      </c>
      <c r="BX13">
        <v>39</v>
      </c>
      <c r="BY13">
        <v>65</v>
      </c>
      <c r="BZ13">
        <v>8</v>
      </c>
      <c r="CA13">
        <v>68</v>
      </c>
      <c r="CB13">
        <v>106</v>
      </c>
      <c r="CC13">
        <v>73</v>
      </c>
      <c r="CD13">
        <v>19</v>
      </c>
      <c r="CE13">
        <v>74</v>
      </c>
      <c r="CF13">
        <v>8</v>
      </c>
      <c r="CG13">
        <v>75</v>
      </c>
      <c r="CH13">
        <v>61</v>
      </c>
      <c r="CI13">
        <v>78</v>
      </c>
      <c r="CJ13">
        <v>7</v>
      </c>
      <c r="CK13">
        <v>79</v>
      </c>
      <c r="CL13">
        <v>6</v>
      </c>
      <c r="CM13">
        <v>80</v>
      </c>
      <c r="CN13">
        <v>11</v>
      </c>
      <c r="CO13">
        <v>81</v>
      </c>
      <c r="CP13">
        <v>7</v>
      </c>
      <c r="CQ13">
        <v>82</v>
      </c>
      <c r="CR13">
        <v>5</v>
      </c>
      <c r="CS13">
        <v>83</v>
      </c>
      <c r="CT13">
        <v>11</v>
      </c>
      <c r="CU13">
        <v>84</v>
      </c>
      <c r="CV13">
        <v>14</v>
      </c>
      <c r="CW13">
        <v>85</v>
      </c>
      <c r="CX13">
        <v>14</v>
      </c>
      <c r="CY13">
        <v>86</v>
      </c>
      <c r="CZ13">
        <v>8</v>
      </c>
      <c r="DA13">
        <v>87</v>
      </c>
      <c r="DB13">
        <v>8</v>
      </c>
    </row>
    <row r="14" spans="1:106">
      <c r="B14" s="2"/>
      <c r="C14">
        <v>4</v>
      </c>
      <c r="D14">
        <v>9</v>
      </c>
      <c r="F14" s="2"/>
      <c r="G14">
        <v>6</v>
      </c>
      <c r="H14" s="2"/>
      <c r="I14">
        <v>8</v>
      </c>
      <c r="J14">
        <v>45</v>
      </c>
      <c r="K14">
        <v>11</v>
      </c>
      <c r="L14" s="2"/>
      <c r="M14">
        <v>12</v>
      </c>
      <c r="N14" s="2"/>
      <c r="O14">
        <v>13</v>
      </c>
      <c r="Q14">
        <v>14</v>
      </c>
      <c r="R14">
        <v>59</v>
      </c>
      <c r="S14">
        <v>15</v>
      </c>
      <c r="U14">
        <v>16</v>
      </c>
      <c r="W14">
        <v>17</v>
      </c>
      <c r="X14">
        <v>5</v>
      </c>
      <c r="Y14">
        <v>19</v>
      </c>
      <c r="Z14">
        <v>26</v>
      </c>
      <c r="AA14">
        <v>20</v>
      </c>
      <c r="AB14">
        <v>9</v>
      </c>
      <c r="AC14">
        <v>22</v>
      </c>
      <c r="AD14">
        <v>67</v>
      </c>
      <c r="AE14">
        <v>23</v>
      </c>
      <c r="AF14">
        <v>17</v>
      </c>
      <c r="AG14">
        <v>24</v>
      </c>
      <c r="AH14">
        <v>34</v>
      </c>
      <c r="AI14">
        <v>27</v>
      </c>
      <c r="AJ14">
        <v>17</v>
      </c>
      <c r="AM14">
        <v>30</v>
      </c>
      <c r="AN14">
        <v>21</v>
      </c>
      <c r="AO14">
        <v>32</v>
      </c>
      <c r="AP14">
        <v>13</v>
      </c>
      <c r="AQ14">
        <v>33</v>
      </c>
      <c r="AR14">
        <v>16</v>
      </c>
      <c r="AS14">
        <v>36</v>
      </c>
      <c r="AT14">
        <v>19</v>
      </c>
      <c r="AU14">
        <v>38</v>
      </c>
      <c r="AV14">
        <v>21</v>
      </c>
      <c r="AW14">
        <v>42</v>
      </c>
      <c r="AX14">
        <v>36</v>
      </c>
      <c r="AY14">
        <v>43</v>
      </c>
      <c r="AZ14">
        <v>37</v>
      </c>
      <c r="BA14">
        <v>45</v>
      </c>
      <c r="BB14">
        <v>17</v>
      </c>
      <c r="BC14">
        <v>47</v>
      </c>
      <c r="BD14">
        <v>45</v>
      </c>
      <c r="BE14">
        <v>48</v>
      </c>
      <c r="BF14">
        <v>19</v>
      </c>
      <c r="BG14">
        <v>49</v>
      </c>
      <c r="BH14">
        <v>15</v>
      </c>
      <c r="BI14">
        <v>52</v>
      </c>
      <c r="BJ14">
        <v>11</v>
      </c>
      <c r="BK14">
        <v>54</v>
      </c>
      <c r="BL14">
        <v>14</v>
      </c>
      <c r="BM14">
        <v>55</v>
      </c>
      <c r="BN14">
        <v>14</v>
      </c>
      <c r="BO14">
        <v>57</v>
      </c>
      <c r="BP14">
        <v>12</v>
      </c>
      <c r="BQ14">
        <v>58</v>
      </c>
      <c r="BR14">
        <v>18</v>
      </c>
      <c r="BS14">
        <v>62</v>
      </c>
      <c r="BT14">
        <v>53</v>
      </c>
      <c r="BU14">
        <v>63</v>
      </c>
      <c r="BV14">
        <v>8</v>
      </c>
      <c r="BW14">
        <v>64</v>
      </c>
      <c r="BX14">
        <v>13</v>
      </c>
      <c r="BY14">
        <v>65</v>
      </c>
      <c r="BZ14">
        <v>14</v>
      </c>
      <c r="CA14">
        <v>68</v>
      </c>
      <c r="CB14">
        <v>6</v>
      </c>
      <c r="CC14">
        <v>73</v>
      </c>
      <c r="CD14">
        <v>21</v>
      </c>
      <c r="CE14">
        <v>74</v>
      </c>
      <c r="CF14">
        <v>11</v>
      </c>
      <c r="CG14">
        <v>75</v>
      </c>
      <c r="CH14">
        <v>6</v>
      </c>
      <c r="CI14">
        <v>78</v>
      </c>
      <c r="CJ14">
        <v>18</v>
      </c>
      <c r="CK14">
        <v>79</v>
      </c>
      <c r="CL14">
        <v>13</v>
      </c>
      <c r="CM14">
        <v>80</v>
      </c>
      <c r="CN14">
        <v>115</v>
      </c>
      <c r="CO14">
        <v>81</v>
      </c>
      <c r="CP14">
        <v>18</v>
      </c>
      <c r="CQ14">
        <v>82</v>
      </c>
      <c r="CR14">
        <v>5</v>
      </c>
      <c r="CS14">
        <v>83</v>
      </c>
      <c r="CT14">
        <v>93</v>
      </c>
      <c r="CU14">
        <v>84</v>
      </c>
      <c r="CV14">
        <v>18</v>
      </c>
      <c r="CW14">
        <v>85</v>
      </c>
      <c r="CX14">
        <v>8</v>
      </c>
      <c r="CY14">
        <v>86</v>
      </c>
      <c r="CZ14">
        <v>6</v>
      </c>
      <c r="DA14">
        <v>87</v>
      </c>
      <c r="DB14">
        <v>24</v>
      </c>
    </row>
    <row r="15" spans="1:106">
      <c r="B15" s="2"/>
      <c r="C15">
        <v>4</v>
      </c>
      <c r="D15">
        <v>19</v>
      </c>
      <c r="F15" s="2"/>
      <c r="G15">
        <v>6</v>
      </c>
      <c r="H15" s="2"/>
      <c r="I15">
        <v>8</v>
      </c>
      <c r="J15">
        <v>33</v>
      </c>
      <c r="K15">
        <v>11</v>
      </c>
      <c r="L15" s="2"/>
      <c r="M15">
        <v>12</v>
      </c>
      <c r="N15" s="2"/>
      <c r="O15">
        <v>13</v>
      </c>
      <c r="Q15">
        <v>14</v>
      </c>
      <c r="R15">
        <v>3</v>
      </c>
      <c r="S15">
        <v>16</v>
      </c>
      <c r="U15">
        <v>16</v>
      </c>
      <c r="W15">
        <v>17</v>
      </c>
      <c r="X15">
        <v>23</v>
      </c>
      <c r="Y15">
        <v>19</v>
      </c>
      <c r="Z15">
        <v>8</v>
      </c>
      <c r="AA15">
        <v>20</v>
      </c>
      <c r="AB15">
        <v>11</v>
      </c>
      <c r="AC15">
        <v>22</v>
      </c>
      <c r="AD15">
        <v>9</v>
      </c>
      <c r="AE15">
        <v>23</v>
      </c>
      <c r="AF15">
        <v>28</v>
      </c>
      <c r="AG15">
        <v>24</v>
      </c>
      <c r="AH15">
        <v>11</v>
      </c>
      <c r="AI15">
        <v>27</v>
      </c>
      <c r="AJ15">
        <v>121</v>
      </c>
      <c r="AM15">
        <v>30</v>
      </c>
      <c r="AN15">
        <v>8</v>
      </c>
      <c r="AO15">
        <v>32</v>
      </c>
      <c r="AP15">
        <v>14</v>
      </c>
      <c r="AQ15">
        <v>33</v>
      </c>
      <c r="AR15">
        <v>17</v>
      </c>
      <c r="AS15">
        <v>36</v>
      </c>
      <c r="AT15">
        <v>12</v>
      </c>
      <c r="AU15">
        <v>38</v>
      </c>
      <c r="AV15">
        <v>28</v>
      </c>
      <c r="AW15">
        <v>42</v>
      </c>
      <c r="AX15">
        <v>32</v>
      </c>
      <c r="AY15">
        <v>43</v>
      </c>
      <c r="AZ15">
        <v>70</v>
      </c>
      <c r="BA15">
        <v>45</v>
      </c>
      <c r="BB15">
        <v>12</v>
      </c>
      <c r="BC15">
        <v>47</v>
      </c>
      <c r="BD15">
        <v>35</v>
      </c>
      <c r="BE15">
        <v>48</v>
      </c>
      <c r="BF15">
        <v>25</v>
      </c>
      <c r="BG15">
        <v>49</v>
      </c>
      <c r="BH15">
        <v>6</v>
      </c>
      <c r="BI15">
        <v>52</v>
      </c>
      <c r="BJ15">
        <v>10</v>
      </c>
      <c r="BK15">
        <v>54</v>
      </c>
      <c r="BL15">
        <v>17</v>
      </c>
      <c r="BM15">
        <v>55</v>
      </c>
      <c r="BN15">
        <v>12</v>
      </c>
      <c r="BO15">
        <v>57</v>
      </c>
      <c r="BP15">
        <v>18</v>
      </c>
      <c r="BQ15">
        <v>58</v>
      </c>
      <c r="BR15">
        <v>28</v>
      </c>
      <c r="BS15">
        <v>62</v>
      </c>
      <c r="BT15">
        <v>17</v>
      </c>
      <c r="BU15">
        <v>63</v>
      </c>
      <c r="BV15">
        <v>8</v>
      </c>
      <c r="BW15">
        <v>64</v>
      </c>
      <c r="BX15">
        <v>9</v>
      </c>
      <c r="BY15">
        <v>65</v>
      </c>
      <c r="BZ15">
        <v>20</v>
      </c>
      <c r="CA15">
        <v>68</v>
      </c>
      <c r="CB15">
        <v>32</v>
      </c>
      <c r="CC15">
        <v>73</v>
      </c>
      <c r="CD15">
        <v>11</v>
      </c>
      <c r="CE15">
        <v>74</v>
      </c>
      <c r="CF15">
        <v>22</v>
      </c>
      <c r="CG15">
        <v>75</v>
      </c>
      <c r="CH15">
        <v>11</v>
      </c>
      <c r="CI15">
        <v>78</v>
      </c>
      <c r="CJ15">
        <v>30</v>
      </c>
      <c r="CK15">
        <v>79</v>
      </c>
      <c r="CL15">
        <v>25</v>
      </c>
      <c r="CM15">
        <v>80</v>
      </c>
      <c r="CN15">
        <v>8</v>
      </c>
      <c r="CO15">
        <v>81</v>
      </c>
      <c r="CP15">
        <v>28</v>
      </c>
      <c r="CQ15">
        <v>82</v>
      </c>
      <c r="CR15">
        <v>19</v>
      </c>
      <c r="CS15">
        <v>83</v>
      </c>
      <c r="CT15">
        <v>31</v>
      </c>
      <c r="CU15">
        <v>84</v>
      </c>
      <c r="CV15">
        <v>15</v>
      </c>
      <c r="CW15">
        <v>85</v>
      </c>
      <c r="CX15">
        <v>14</v>
      </c>
      <c r="CY15">
        <v>86</v>
      </c>
      <c r="CZ15">
        <v>12</v>
      </c>
      <c r="DA15">
        <v>87</v>
      </c>
      <c r="DB15">
        <v>34</v>
      </c>
    </row>
    <row r="16" spans="1:106">
      <c r="B16" s="2"/>
      <c r="C16">
        <v>4</v>
      </c>
      <c r="D16">
        <v>9</v>
      </c>
      <c r="F16" s="2"/>
      <c r="G16">
        <v>6</v>
      </c>
      <c r="H16" s="2"/>
      <c r="I16">
        <v>8</v>
      </c>
      <c r="J16">
        <v>13</v>
      </c>
      <c r="K16">
        <v>11</v>
      </c>
      <c r="L16" s="2"/>
      <c r="M16">
        <v>12</v>
      </c>
      <c r="N16" s="2"/>
      <c r="O16">
        <v>13</v>
      </c>
      <c r="Q16">
        <v>14</v>
      </c>
      <c r="R16">
        <v>6</v>
      </c>
      <c r="U16">
        <v>16</v>
      </c>
      <c r="W16">
        <v>17</v>
      </c>
      <c r="X16">
        <v>28</v>
      </c>
      <c r="AA16">
        <v>20</v>
      </c>
      <c r="AB16">
        <v>9</v>
      </c>
      <c r="AC16">
        <v>22</v>
      </c>
      <c r="AD16">
        <v>7</v>
      </c>
      <c r="AE16">
        <v>23</v>
      </c>
      <c r="AF16">
        <v>11</v>
      </c>
      <c r="AG16">
        <v>24</v>
      </c>
      <c r="AH16">
        <v>16</v>
      </c>
      <c r="AI16">
        <v>27</v>
      </c>
      <c r="AJ16">
        <v>104</v>
      </c>
      <c r="AM16">
        <v>30</v>
      </c>
      <c r="AN16">
        <v>8</v>
      </c>
      <c r="AO16">
        <v>32</v>
      </c>
      <c r="AP16">
        <v>11</v>
      </c>
      <c r="AQ16">
        <v>33</v>
      </c>
      <c r="AR16">
        <v>69</v>
      </c>
      <c r="AS16">
        <v>36</v>
      </c>
      <c r="AT16">
        <v>13</v>
      </c>
      <c r="AU16">
        <v>38</v>
      </c>
      <c r="AV16">
        <v>14</v>
      </c>
      <c r="AW16">
        <v>42</v>
      </c>
      <c r="AX16">
        <v>23</v>
      </c>
      <c r="AY16">
        <v>43</v>
      </c>
      <c r="AZ16">
        <v>15</v>
      </c>
      <c r="BA16">
        <v>45</v>
      </c>
      <c r="BB16">
        <v>9</v>
      </c>
      <c r="BC16">
        <v>47</v>
      </c>
      <c r="BD16">
        <v>12</v>
      </c>
      <c r="BE16">
        <v>48</v>
      </c>
      <c r="BF16">
        <v>13</v>
      </c>
      <c r="BG16">
        <v>49</v>
      </c>
      <c r="BH16">
        <v>8</v>
      </c>
      <c r="BI16">
        <v>52</v>
      </c>
      <c r="BJ16">
        <v>12</v>
      </c>
      <c r="BK16">
        <v>54</v>
      </c>
      <c r="BL16">
        <v>10</v>
      </c>
      <c r="BM16">
        <v>55</v>
      </c>
      <c r="BN16">
        <v>12</v>
      </c>
      <c r="BO16">
        <v>57</v>
      </c>
      <c r="BP16">
        <v>17</v>
      </c>
      <c r="BQ16">
        <v>58</v>
      </c>
      <c r="BR16">
        <v>16</v>
      </c>
      <c r="BS16">
        <v>62</v>
      </c>
      <c r="BT16">
        <v>11</v>
      </c>
      <c r="BU16">
        <v>63</v>
      </c>
      <c r="BV16">
        <v>10</v>
      </c>
      <c r="BW16">
        <v>64</v>
      </c>
      <c r="BX16">
        <v>12</v>
      </c>
      <c r="BY16">
        <v>65</v>
      </c>
      <c r="BZ16">
        <v>9</v>
      </c>
      <c r="CA16">
        <v>68</v>
      </c>
      <c r="CB16">
        <v>24</v>
      </c>
      <c r="CC16">
        <v>73</v>
      </c>
      <c r="CD16">
        <v>9</v>
      </c>
      <c r="CE16">
        <v>74</v>
      </c>
      <c r="CF16">
        <v>14</v>
      </c>
      <c r="CG16">
        <v>75</v>
      </c>
      <c r="CH16">
        <v>17</v>
      </c>
      <c r="CI16">
        <v>78</v>
      </c>
      <c r="CJ16">
        <v>13</v>
      </c>
      <c r="CK16">
        <v>79</v>
      </c>
      <c r="CL16">
        <v>9</v>
      </c>
      <c r="CM16">
        <v>80</v>
      </c>
      <c r="CN16">
        <v>49</v>
      </c>
      <c r="CO16">
        <v>81</v>
      </c>
      <c r="CP16">
        <v>10</v>
      </c>
      <c r="CQ16">
        <v>82</v>
      </c>
      <c r="CR16">
        <v>7</v>
      </c>
      <c r="CS16">
        <v>83</v>
      </c>
      <c r="CT16">
        <v>11</v>
      </c>
      <c r="CU16">
        <v>84</v>
      </c>
      <c r="CV16">
        <v>5</v>
      </c>
      <c r="CW16">
        <v>85</v>
      </c>
      <c r="CX16">
        <v>20</v>
      </c>
      <c r="CY16">
        <v>86</v>
      </c>
      <c r="CZ16">
        <v>20</v>
      </c>
      <c r="DA16">
        <v>87</v>
      </c>
      <c r="DB16">
        <v>13</v>
      </c>
    </row>
    <row r="17" spans="1:106">
      <c r="B17" s="2"/>
      <c r="C17">
        <v>4</v>
      </c>
      <c r="D17">
        <v>8</v>
      </c>
      <c r="F17" s="2"/>
      <c r="G17">
        <v>6</v>
      </c>
      <c r="H17" s="2"/>
      <c r="I17">
        <v>8</v>
      </c>
      <c r="J17">
        <v>19</v>
      </c>
      <c r="K17">
        <v>11</v>
      </c>
      <c r="L17" s="2"/>
      <c r="M17">
        <v>12</v>
      </c>
      <c r="N17" s="2"/>
      <c r="O17">
        <v>13</v>
      </c>
      <c r="Q17">
        <v>14</v>
      </c>
      <c r="R17">
        <v>15</v>
      </c>
      <c r="U17">
        <v>16</v>
      </c>
      <c r="W17">
        <v>17</v>
      </c>
      <c r="X17">
        <v>11</v>
      </c>
      <c r="AA17">
        <v>20</v>
      </c>
      <c r="AB17">
        <v>6</v>
      </c>
      <c r="AC17">
        <v>22</v>
      </c>
      <c r="AD17">
        <v>12</v>
      </c>
      <c r="AE17">
        <v>23</v>
      </c>
      <c r="AF17">
        <v>10</v>
      </c>
      <c r="AG17">
        <v>24</v>
      </c>
      <c r="AH17">
        <v>8</v>
      </c>
      <c r="AI17">
        <v>27</v>
      </c>
      <c r="AJ17">
        <v>12</v>
      </c>
      <c r="AM17">
        <v>30</v>
      </c>
      <c r="AN17">
        <v>6</v>
      </c>
      <c r="AO17">
        <v>32</v>
      </c>
      <c r="AP17">
        <v>13</v>
      </c>
      <c r="AQ17">
        <v>33</v>
      </c>
      <c r="AR17">
        <v>287</v>
      </c>
      <c r="AS17">
        <v>36</v>
      </c>
      <c r="AT17">
        <v>16</v>
      </c>
      <c r="AU17">
        <v>38</v>
      </c>
      <c r="AV17">
        <v>14</v>
      </c>
      <c r="AW17">
        <v>42</v>
      </c>
      <c r="AX17">
        <v>9</v>
      </c>
      <c r="AY17">
        <v>43</v>
      </c>
      <c r="AZ17">
        <v>10</v>
      </c>
      <c r="BA17">
        <v>45</v>
      </c>
      <c r="BB17">
        <v>17</v>
      </c>
      <c r="BC17">
        <v>47</v>
      </c>
      <c r="BD17">
        <v>24</v>
      </c>
      <c r="BE17">
        <v>48</v>
      </c>
      <c r="BF17">
        <v>11</v>
      </c>
      <c r="BG17">
        <v>49</v>
      </c>
      <c r="BH17">
        <v>12</v>
      </c>
      <c r="BI17">
        <v>52</v>
      </c>
      <c r="BJ17">
        <v>11</v>
      </c>
      <c r="BK17">
        <v>54</v>
      </c>
      <c r="BL17">
        <v>7</v>
      </c>
      <c r="BM17">
        <v>55</v>
      </c>
      <c r="BN17">
        <v>12</v>
      </c>
      <c r="BO17">
        <v>57</v>
      </c>
      <c r="BP17">
        <v>10</v>
      </c>
      <c r="BQ17">
        <v>58</v>
      </c>
      <c r="BR17">
        <v>13</v>
      </c>
      <c r="BS17">
        <v>62</v>
      </c>
      <c r="BT17">
        <v>96</v>
      </c>
      <c r="BU17">
        <v>63</v>
      </c>
      <c r="BV17">
        <v>7</v>
      </c>
      <c r="BW17">
        <v>64</v>
      </c>
      <c r="BX17">
        <v>9</v>
      </c>
      <c r="BY17">
        <v>65</v>
      </c>
      <c r="BZ17">
        <v>11</v>
      </c>
      <c r="CA17">
        <v>68</v>
      </c>
      <c r="CB17">
        <v>340</v>
      </c>
      <c r="CC17">
        <v>73</v>
      </c>
      <c r="CD17">
        <v>11</v>
      </c>
      <c r="CE17">
        <v>74</v>
      </c>
      <c r="CF17">
        <v>9</v>
      </c>
      <c r="CG17">
        <v>75</v>
      </c>
      <c r="CH17">
        <v>114</v>
      </c>
      <c r="CI17">
        <v>78</v>
      </c>
      <c r="CJ17">
        <v>12</v>
      </c>
      <c r="CK17">
        <v>79</v>
      </c>
      <c r="CL17">
        <v>9</v>
      </c>
      <c r="CM17">
        <v>80</v>
      </c>
      <c r="CN17">
        <v>30</v>
      </c>
      <c r="CO17">
        <v>81</v>
      </c>
      <c r="CP17">
        <v>10</v>
      </c>
      <c r="CQ17">
        <v>82</v>
      </c>
      <c r="CR17">
        <v>10</v>
      </c>
      <c r="CS17">
        <v>83</v>
      </c>
      <c r="CT17">
        <v>10</v>
      </c>
      <c r="CU17">
        <v>84</v>
      </c>
      <c r="CV17">
        <v>162</v>
      </c>
      <c r="CW17">
        <v>85</v>
      </c>
      <c r="CX17">
        <v>22</v>
      </c>
      <c r="CY17">
        <v>86</v>
      </c>
      <c r="CZ17">
        <v>31</v>
      </c>
      <c r="DA17">
        <v>87</v>
      </c>
      <c r="DB17">
        <v>14</v>
      </c>
    </row>
    <row r="18" spans="1:106">
      <c r="B18" s="2"/>
      <c r="C18">
        <v>4</v>
      </c>
      <c r="D18">
        <v>8</v>
      </c>
      <c r="F18" s="2"/>
      <c r="G18">
        <v>6</v>
      </c>
      <c r="H18" s="2"/>
      <c r="I18">
        <v>8</v>
      </c>
      <c r="J18">
        <v>13</v>
      </c>
      <c r="K18">
        <v>11</v>
      </c>
      <c r="L18" s="2"/>
      <c r="M18">
        <v>12</v>
      </c>
      <c r="N18" s="2"/>
      <c r="O18">
        <v>13</v>
      </c>
      <c r="Q18">
        <v>14</v>
      </c>
      <c r="R18">
        <v>9</v>
      </c>
      <c r="U18">
        <v>16</v>
      </c>
      <c r="W18">
        <v>17</v>
      </c>
      <c r="X18">
        <v>12</v>
      </c>
      <c r="AA18">
        <v>20</v>
      </c>
      <c r="AB18">
        <v>184</v>
      </c>
      <c r="AC18">
        <v>22</v>
      </c>
      <c r="AD18">
        <v>9</v>
      </c>
      <c r="AE18">
        <v>23</v>
      </c>
      <c r="AF18">
        <v>6</v>
      </c>
      <c r="AG18">
        <v>24</v>
      </c>
      <c r="AH18">
        <v>26</v>
      </c>
      <c r="AI18">
        <v>27</v>
      </c>
      <c r="AJ18">
        <v>14</v>
      </c>
      <c r="AM18">
        <v>30</v>
      </c>
      <c r="AN18">
        <v>5</v>
      </c>
      <c r="AO18">
        <v>32</v>
      </c>
      <c r="AP18">
        <v>9</v>
      </c>
      <c r="AQ18">
        <v>33</v>
      </c>
      <c r="AR18">
        <v>149</v>
      </c>
      <c r="AS18">
        <v>36</v>
      </c>
      <c r="AT18">
        <v>9</v>
      </c>
      <c r="AU18">
        <v>38</v>
      </c>
      <c r="AV18">
        <v>15</v>
      </c>
      <c r="AW18">
        <v>42</v>
      </c>
      <c r="AX18">
        <v>11</v>
      </c>
      <c r="AY18">
        <v>43</v>
      </c>
      <c r="AZ18">
        <v>13</v>
      </c>
      <c r="BA18">
        <v>45</v>
      </c>
      <c r="BB18">
        <v>8</v>
      </c>
      <c r="BC18">
        <v>47</v>
      </c>
      <c r="BD18">
        <v>12</v>
      </c>
      <c r="BE18">
        <v>48</v>
      </c>
      <c r="BF18">
        <v>13</v>
      </c>
      <c r="BG18">
        <v>49</v>
      </c>
      <c r="BH18">
        <v>6</v>
      </c>
      <c r="BI18">
        <v>52</v>
      </c>
      <c r="BJ18">
        <v>10</v>
      </c>
      <c r="BK18">
        <v>54</v>
      </c>
      <c r="BL18">
        <v>241</v>
      </c>
      <c r="BM18">
        <v>55</v>
      </c>
      <c r="BN18">
        <v>11</v>
      </c>
      <c r="BO18">
        <v>57</v>
      </c>
      <c r="BP18">
        <v>444</v>
      </c>
      <c r="BQ18">
        <v>58</v>
      </c>
      <c r="BR18">
        <v>11</v>
      </c>
      <c r="BS18">
        <v>62</v>
      </c>
      <c r="BT18">
        <v>10</v>
      </c>
      <c r="BU18">
        <v>63</v>
      </c>
      <c r="BV18">
        <v>74</v>
      </c>
      <c r="BW18">
        <v>64</v>
      </c>
      <c r="BX18">
        <v>60</v>
      </c>
      <c r="BY18">
        <v>65</v>
      </c>
      <c r="BZ18">
        <v>12</v>
      </c>
      <c r="CA18">
        <v>68</v>
      </c>
      <c r="CB18">
        <v>8</v>
      </c>
      <c r="CC18">
        <v>73</v>
      </c>
      <c r="CD18">
        <v>14</v>
      </c>
      <c r="CE18">
        <v>74</v>
      </c>
      <c r="CF18">
        <v>8</v>
      </c>
      <c r="CG18">
        <v>75</v>
      </c>
      <c r="CH18">
        <v>64</v>
      </c>
      <c r="CI18">
        <v>78</v>
      </c>
      <c r="CJ18">
        <v>11</v>
      </c>
      <c r="CK18">
        <v>79</v>
      </c>
      <c r="CL18">
        <v>14</v>
      </c>
      <c r="CM18">
        <v>80</v>
      </c>
      <c r="CN18">
        <v>155</v>
      </c>
      <c r="CO18">
        <v>81</v>
      </c>
      <c r="CP18">
        <v>9</v>
      </c>
      <c r="CQ18">
        <v>82</v>
      </c>
      <c r="CR18">
        <v>16</v>
      </c>
      <c r="CS18">
        <v>83</v>
      </c>
      <c r="CT18">
        <v>39</v>
      </c>
      <c r="CU18">
        <v>84</v>
      </c>
      <c r="CV18">
        <v>62</v>
      </c>
      <c r="CW18">
        <v>85</v>
      </c>
      <c r="CX18">
        <v>28</v>
      </c>
      <c r="CY18">
        <v>86</v>
      </c>
      <c r="CZ18">
        <v>8</v>
      </c>
      <c r="DA18">
        <v>87</v>
      </c>
      <c r="DB18">
        <v>8</v>
      </c>
    </row>
    <row r="19" spans="1:106">
      <c r="B19" s="2"/>
      <c r="C19">
        <v>4</v>
      </c>
      <c r="D19">
        <v>9</v>
      </c>
      <c r="F19" s="2"/>
      <c r="G19">
        <v>6</v>
      </c>
      <c r="H19" s="2"/>
      <c r="I19">
        <v>8</v>
      </c>
      <c r="J19">
        <v>6</v>
      </c>
      <c r="K19">
        <v>11</v>
      </c>
      <c r="L19" s="2"/>
      <c r="M19">
        <v>12</v>
      </c>
      <c r="N19" s="2"/>
      <c r="O19">
        <v>13</v>
      </c>
      <c r="Q19">
        <v>14</v>
      </c>
      <c r="R19">
        <v>1090</v>
      </c>
      <c r="U19">
        <v>16</v>
      </c>
      <c r="W19">
        <v>17</v>
      </c>
      <c r="X19">
        <v>6</v>
      </c>
      <c r="AA19">
        <v>20</v>
      </c>
      <c r="AB19">
        <v>23</v>
      </c>
      <c r="AC19">
        <v>22</v>
      </c>
      <c r="AD19">
        <v>126</v>
      </c>
      <c r="AE19">
        <v>23</v>
      </c>
      <c r="AF19">
        <v>123</v>
      </c>
      <c r="AG19">
        <v>24</v>
      </c>
      <c r="AH19">
        <v>169</v>
      </c>
      <c r="AI19">
        <v>27</v>
      </c>
      <c r="AJ19">
        <v>14</v>
      </c>
      <c r="AM19">
        <v>30</v>
      </c>
      <c r="AN19">
        <v>49</v>
      </c>
      <c r="AO19">
        <v>32</v>
      </c>
      <c r="AP19">
        <v>26</v>
      </c>
      <c r="AQ19">
        <v>33</v>
      </c>
      <c r="AR19">
        <v>39</v>
      </c>
      <c r="AS19">
        <v>36</v>
      </c>
      <c r="AT19">
        <v>47</v>
      </c>
      <c r="AU19">
        <v>38</v>
      </c>
      <c r="AV19">
        <v>6</v>
      </c>
      <c r="AW19">
        <v>42</v>
      </c>
      <c r="AX19">
        <v>536</v>
      </c>
      <c r="AY19">
        <v>43</v>
      </c>
      <c r="AZ19">
        <v>11</v>
      </c>
      <c r="BA19">
        <v>45</v>
      </c>
      <c r="BB19">
        <v>117</v>
      </c>
      <c r="BC19">
        <v>47</v>
      </c>
      <c r="BD19">
        <v>10</v>
      </c>
      <c r="BE19">
        <v>48</v>
      </c>
      <c r="BF19">
        <v>9</v>
      </c>
      <c r="BG19">
        <v>49</v>
      </c>
      <c r="BH19">
        <v>131</v>
      </c>
      <c r="BI19">
        <v>52</v>
      </c>
      <c r="BJ19">
        <v>256</v>
      </c>
      <c r="BK19">
        <v>54</v>
      </c>
      <c r="BL19">
        <v>32</v>
      </c>
      <c r="BM19">
        <v>55</v>
      </c>
      <c r="BN19">
        <v>67</v>
      </c>
      <c r="BO19">
        <v>57</v>
      </c>
      <c r="BP19">
        <v>35</v>
      </c>
      <c r="BQ19">
        <v>58</v>
      </c>
      <c r="BR19">
        <v>182</v>
      </c>
      <c r="BS19">
        <v>63</v>
      </c>
      <c r="BT19">
        <v>105</v>
      </c>
      <c r="BU19">
        <v>63</v>
      </c>
      <c r="BV19">
        <v>8</v>
      </c>
      <c r="BW19">
        <v>64</v>
      </c>
      <c r="BX19">
        <v>62</v>
      </c>
      <c r="BY19">
        <v>65</v>
      </c>
      <c r="BZ19">
        <v>8</v>
      </c>
      <c r="CA19">
        <v>68</v>
      </c>
      <c r="CB19">
        <v>14</v>
      </c>
      <c r="CC19">
        <v>73</v>
      </c>
      <c r="CD19">
        <v>46</v>
      </c>
      <c r="CE19">
        <v>74</v>
      </c>
      <c r="CF19">
        <v>7</v>
      </c>
      <c r="CG19">
        <v>75</v>
      </c>
      <c r="CH19">
        <v>397</v>
      </c>
      <c r="CI19">
        <v>78</v>
      </c>
      <c r="CJ19">
        <v>12</v>
      </c>
      <c r="CK19">
        <v>79</v>
      </c>
      <c r="CL19">
        <v>8</v>
      </c>
      <c r="CM19">
        <v>80</v>
      </c>
      <c r="CN19">
        <v>77</v>
      </c>
      <c r="CO19">
        <v>81</v>
      </c>
      <c r="CP19">
        <v>7</v>
      </c>
      <c r="CQ19">
        <v>82</v>
      </c>
      <c r="CR19">
        <v>7</v>
      </c>
      <c r="CS19">
        <v>83</v>
      </c>
      <c r="CT19">
        <v>8</v>
      </c>
      <c r="CU19">
        <v>84</v>
      </c>
      <c r="CV19">
        <v>107</v>
      </c>
      <c r="CW19">
        <v>85</v>
      </c>
      <c r="CX19">
        <v>27</v>
      </c>
      <c r="CY19">
        <v>86</v>
      </c>
      <c r="CZ19">
        <v>14</v>
      </c>
      <c r="DA19">
        <v>87</v>
      </c>
      <c r="DB19">
        <v>127</v>
      </c>
    </row>
    <row r="20" spans="1:106">
      <c r="B20" s="2"/>
      <c r="C20">
        <v>4</v>
      </c>
      <c r="D20">
        <v>291</v>
      </c>
      <c r="F20" s="2"/>
      <c r="G20">
        <v>6</v>
      </c>
      <c r="H20" s="2"/>
      <c r="I20">
        <v>8</v>
      </c>
      <c r="J20">
        <v>48</v>
      </c>
      <c r="K20">
        <v>11</v>
      </c>
      <c r="L20" s="2"/>
      <c r="M20">
        <v>12</v>
      </c>
      <c r="N20" s="2"/>
      <c r="O20">
        <v>13</v>
      </c>
      <c r="Q20">
        <v>14</v>
      </c>
      <c r="R20">
        <v>155</v>
      </c>
      <c r="U20">
        <v>16</v>
      </c>
      <c r="W20">
        <v>17</v>
      </c>
      <c r="X20">
        <v>1618</v>
      </c>
      <c r="AA20">
        <v>20</v>
      </c>
      <c r="AB20">
        <v>49</v>
      </c>
      <c r="AC20">
        <v>22</v>
      </c>
      <c r="AD20">
        <v>477</v>
      </c>
      <c r="AE20">
        <v>23</v>
      </c>
      <c r="AF20">
        <v>40</v>
      </c>
      <c r="AG20">
        <v>24</v>
      </c>
      <c r="AH20">
        <v>38</v>
      </c>
      <c r="AI20">
        <v>27</v>
      </c>
      <c r="AJ20">
        <v>9</v>
      </c>
      <c r="AM20">
        <v>30</v>
      </c>
      <c r="AN20">
        <v>20</v>
      </c>
      <c r="AO20">
        <v>32</v>
      </c>
      <c r="AP20">
        <v>46</v>
      </c>
      <c r="AQ20">
        <v>33</v>
      </c>
      <c r="AR20">
        <v>18</v>
      </c>
      <c r="AS20">
        <v>36</v>
      </c>
      <c r="AT20">
        <v>72</v>
      </c>
      <c r="AU20">
        <v>38</v>
      </c>
      <c r="AV20">
        <v>667</v>
      </c>
      <c r="AY20">
        <v>43</v>
      </c>
      <c r="AZ20">
        <v>566</v>
      </c>
      <c r="BA20">
        <v>45</v>
      </c>
      <c r="BB20">
        <v>27</v>
      </c>
      <c r="BC20">
        <v>47</v>
      </c>
      <c r="BD20">
        <v>229</v>
      </c>
      <c r="BE20">
        <v>48</v>
      </c>
      <c r="BF20">
        <v>211</v>
      </c>
      <c r="BG20">
        <v>49</v>
      </c>
      <c r="BH20">
        <v>32</v>
      </c>
      <c r="BI20">
        <v>52</v>
      </c>
      <c r="BJ20">
        <v>56</v>
      </c>
      <c r="BK20">
        <v>54</v>
      </c>
      <c r="BL20">
        <v>63</v>
      </c>
      <c r="BM20">
        <v>55</v>
      </c>
      <c r="BN20">
        <v>32</v>
      </c>
      <c r="BO20">
        <v>57</v>
      </c>
      <c r="BP20">
        <v>195</v>
      </c>
      <c r="BQ20">
        <v>58</v>
      </c>
      <c r="BR20">
        <v>69</v>
      </c>
      <c r="BW20">
        <v>64</v>
      </c>
      <c r="BX20">
        <v>32</v>
      </c>
      <c r="BY20">
        <v>65</v>
      </c>
      <c r="BZ20">
        <v>555</v>
      </c>
      <c r="CA20">
        <v>68</v>
      </c>
      <c r="CB20">
        <v>9</v>
      </c>
      <c r="CC20">
        <v>73</v>
      </c>
      <c r="CD20">
        <v>63</v>
      </c>
      <c r="CE20">
        <v>74</v>
      </c>
      <c r="CF20">
        <v>81</v>
      </c>
      <c r="CG20">
        <v>75</v>
      </c>
      <c r="CH20">
        <v>180</v>
      </c>
      <c r="CI20">
        <v>78</v>
      </c>
      <c r="CJ20">
        <v>310</v>
      </c>
      <c r="CK20">
        <v>79</v>
      </c>
      <c r="CL20">
        <v>109</v>
      </c>
      <c r="CM20">
        <v>80</v>
      </c>
      <c r="CN20">
        <v>46</v>
      </c>
      <c r="CO20">
        <v>81</v>
      </c>
      <c r="CP20">
        <v>65</v>
      </c>
      <c r="CQ20">
        <v>82</v>
      </c>
      <c r="CR20">
        <v>50</v>
      </c>
      <c r="CS20">
        <v>83</v>
      </c>
      <c r="CT20">
        <v>71</v>
      </c>
      <c r="CU20">
        <v>84</v>
      </c>
      <c r="CV20">
        <v>88</v>
      </c>
      <c r="CW20">
        <v>85</v>
      </c>
      <c r="CX20">
        <v>7</v>
      </c>
      <c r="CY20">
        <v>86</v>
      </c>
      <c r="CZ20">
        <v>6</v>
      </c>
      <c r="DA20">
        <v>87</v>
      </c>
      <c r="DB20">
        <v>66</v>
      </c>
    </row>
    <row r="21" spans="1:106" s="3" customFormat="1">
      <c r="A21"/>
      <c r="B21"/>
      <c r="C21">
        <v>4</v>
      </c>
      <c r="D21">
        <v>14</v>
      </c>
      <c r="E21"/>
      <c r="F21"/>
      <c r="G21">
        <v>6</v>
      </c>
      <c r="H21"/>
      <c r="I21">
        <v>8</v>
      </c>
      <c r="J21">
        <v>87</v>
      </c>
      <c r="K21">
        <v>11</v>
      </c>
      <c r="L21"/>
      <c r="M21">
        <v>12</v>
      </c>
      <c r="N21">
        <v>77</v>
      </c>
      <c r="O21">
        <v>13</v>
      </c>
      <c r="P21"/>
      <c r="Q21">
        <v>14</v>
      </c>
      <c r="R21">
        <v>211</v>
      </c>
      <c r="S21"/>
      <c r="T21"/>
      <c r="U21"/>
      <c r="V21"/>
      <c r="W21">
        <v>17</v>
      </c>
      <c r="X21">
        <v>40</v>
      </c>
      <c r="Y21"/>
      <c r="Z21"/>
      <c r="AA21">
        <v>20</v>
      </c>
      <c r="AB21">
        <v>47</v>
      </c>
      <c r="AC21">
        <v>22</v>
      </c>
      <c r="AD21">
        <v>177</v>
      </c>
      <c r="AE21">
        <v>23</v>
      </c>
      <c r="AF21">
        <v>99</v>
      </c>
      <c r="AG21"/>
      <c r="AH21"/>
      <c r="AI21">
        <v>27</v>
      </c>
      <c r="AJ21">
        <v>57</v>
      </c>
      <c r="AK21"/>
      <c r="AL21"/>
      <c r="AM21">
        <v>30</v>
      </c>
      <c r="AN21">
        <v>34</v>
      </c>
      <c r="AO21"/>
      <c r="AP21"/>
      <c r="AQ21"/>
      <c r="AR21"/>
      <c r="AS21"/>
      <c r="AT21"/>
      <c r="AU21">
        <v>38</v>
      </c>
      <c r="AV21">
        <v>45</v>
      </c>
      <c r="AW21"/>
      <c r="AX21"/>
      <c r="AY21">
        <v>43</v>
      </c>
      <c r="AZ21">
        <v>39</v>
      </c>
      <c r="BA21"/>
      <c r="BB21"/>
      <c r="BC21"/>
      <c r="BD21"/>
      <c r="BE21">
        <v>48</v>
      </c>
      <c r="BF21">
        <v>45</v>
      </c>
      <c r="BG21">
        <v>49</v>
      </c>
      <c r="BH21">
        <v>30</v>
      </c>
      <c r="BI21">
        <v>52</v>
      </c>
      <c r="BJ21">
        <v>74</v>
      </c>
      <c r="BK21">
        <v>54</v>
      </c>
      <c r="BL21">
        <v>3</v>
      </c>
      <c r="BM21">
        <v>55</v>
      </c>
      <c r="BN21">
        <v>33</v>
      </c>
      <c r="BO21">
        <v>57</v>
      </c>
      <c r="BP21">
        <v>396</v>
      </c>
      <c r="BQ21">
        <v>58</v>
      </c>
      <c r="BR21">
        <v>54</v>
      </c>
      <c r="BS21"/>
      <c r="BT21"/>
      <c r="BU21"/>
      <c r="BV21"/>
      <c r="BY21">
        <v>65</v>
      </c>
      <c r="BZ21">
        <v>23</v>
      </c>
      <c r="CA21">
        <v>68</v>
      </c>
      <c r="CB21">
        <v>1975</v>
      </c>
      <c r="CC21">
        <v>73</v>
      </c>
      <c r="CD21">
        <v>56</v>
      </c>
      <c r="CE21">
        <v>74</v>
      </c>
      <c r="CF21">
        <v>15</v>
      </c>
      <c r="CG21">
        <v>75</v>
      </c>
      <c r="CH21">
        <v>56</v>
      </c>
      <c r="CI21">
        <v>78</v>
      </c>
      <c r="CJ21">
        <v>33</v>
      </c>
      <c r="CK21">
        <v>79</v>
      </c>
      <c r="CL21">
        <v>97</v>
      </c>
      <c r="CM21">
        <v>80</v>
      </c>
      <c r="CN21">
        <v>7</v>
      </c>
      <c r="CO21">
        <v>81</v>
      </c>
      <c r="CP21">
        <v>49</v>
      </c>
      <c r="CQ21">
        <v>82</v>
      </c>
      <c r="CR21">
        <v>42</v>
      </c>
      <c r="CS21">
        <v>83</v>
      </c>
      <c r="CT21">
        <v>129</v>
      </c>
      <c r="CU21">
        <v>84</v>
      </c>
      <c r="CV21">
        <v>65</v>
      </c>
      <c r="CW21">
        <v>85</v>
      </c>
      <c r="CX21">
        <v>427</v>
      </c>
      <c r="CY21">
        <v>86</v>
      </c>
      <c r="CZ21">
        <v>72</v>
      </c>
      <c r="DA21">
        <v>87</v>
      </c>
      <c r="DB21">
        <v>131</v>
      </c>
    </row>
    <row r="22" spans="1:106">
      <c r="C22">
        <v>4</v>
      </c>
      <c r="D22">
        <v>32</v>
      </c>
      <c r="K22">
        <v>11</v>
      </c>
      <c r="M22">
        <v>12</v>
      </c>
      <c r="N22">
        <v>582</v>
      </c>
      <c r="Q22">
        <v>14</v>
      </c>
      <c r="R22">
        <v>26</v>
      </c>
      <c r="W22">
        <v>17</v>
      </c>
      <c r="X22">
        <v>61</v>
      </c>
      <c r="AA22">
        <v>20</v>
      </c>
      <c r="AB22">
        <v>53</v>
      </c>
      <c r="AC22">
        <v>22</v>
      </c>
      <c r="AD22">
        <v>90</v>
      </c>
      <c r="AM22">
        <v>30</v>
      </c>
      <c r="AN22">
        <v>36</v>
      </c>
      <c r="AU22">
        <v>38</v>
      </c>
      <c r="AV22">
        <v>79</v>
      </c>
      <c r="AY22">
        <v>43</v>
      </c>
      <c r="AZ22">
        <v>63</v>
      </c>
      <c r="BE22">
        <v>48</v>
      </c>
      <c r="BF22">
        <v>103</v>
      </c>
      <c r="BG22">
        <v>49</v>
      </c>
      <c r="BH22">
        <v>98</v>
      </c>
      <c r="BI22">
        <v>52</v>
      </c>
      <c r="BJ22">
        <v>56</v>
      </c>
      <c r="BK22">
        <v>54</v>
      </c>
      <c r="BL22">
        <v>494</v>
      </c>
      <c r="BM22">
        <v>55</v>
      </c>
      <c r="BN22">
        <v>78</v>
      </c>
      <c r="BQ22">
        <v>58</v>
      </c>
      <c r="BR22">
        <v>1659</v>
      </c>
      <c r="CA22">
        <v>68</v>
      </c>
      <c r="CB22">
        <v>70</v>
      </c>
      <c r="CE22">
        <v>74</v>
      </c>
      <c r="CF22">
        <v>49</v>
      </c>
      <c r="CG22">
        <v>75</v>
      </c>
      <c r="CH22">
        <v>175</v>
      </c>
      <c r="CI22">
        <v>78</v>
      </c>
      <c r="CJ22">
        <v>51</v>
      </c>
      <c r="CK22">
        <v>79</v>
      </c>
      <c r="CL22">
        <v>74</v>
      </c>
      <c r="CM22">
        <v>80</v>
      </c>
      <c r="CN22">
        <v>39</v>
      </c>
      <c r="CO22">
        <v>81</v>
      </c>
      <c r="CP22">
        <v>109</v>
      </c>
      <c r="CQ22">
        <v>82</v>
      </c>
      <c r="CR22">
        <v>7</v>
      </c>
      <c r="CS22">
        <v>83</v>
      </c>
      <c r="CT22">
        <v>145</v>
      </c>
      <c r="CW22">
        <v>85</v>
      </c>
      <c r="CX22">
        <v>62</v>
      </c>
      <c r="CY22">
        <v>86</v>
      </c>
      <c r="CZ22">
        <v>55</v>
      </c>
      <c r="DA22">
        <v>87</v>
      </c>
      <c r="DB22">
        <v>52</v>
      </c>
    </row>
    <row r="23" spans="1:106">
      <c r="C23">
        <v>4</v>
      </c>
      <c r="D23">
        <v>39</v>
      </c>
      <c r="K23">
        <v>11</v>
      </c>
      <c r="M23">
        <v>12</v>
      </c>
      <c r="N23">
        <v>53</v>
      </c>
      <c r="Q23">
        <v>14</v>
      </c>
      <c r="R23">
        <v>35</v>
      </c>
      <c r="W23">
        <v>17</v>
      </c>
      <c r="X23">
        <v>108</v>
      </c>
      <c r="AA23">
        <v>20</v>
      </c>
      <c r="AB23">
        <v>63</v>
      </c>
      <c r="AC23">
        <v>22</v>
      </c>
      <c r="AD23">
        <v>11</v>
      </c>
      <c r="AU23">
        <v>38</v>
      </c>
      <c r="AV23">
        <v>73</v>
      </c>
      <c r="AY23">
        <v>43</v>
      </c>
      <c r="AZ23">
        <v>87</v>
      </c>
      <c r="BE23">
        <v>48</v>
      </c>
      <c r="BF23">
        <v>548</v>
      </c>
      <c r="BG23">
        <v>49</v>
      </c>
      <c r="BH23">
        <v>51</v>
      </c>
      <c r="BI23">
        <v>52</v>
      </c>
      <c r="BJ23">
        <v>54</v>
      </c>
      <c r="BM23">
        <v>55</v>
      </c>
      <c r="BN23">
        <v>103</v>
      </c>
      <c r="BQ23">
        <v>58</v>
      </c>
      <c r="BR23">
        <v>78</v>
      </c>
      <c r="CA23">
        <v>68</v>
      </c>
      <c r="CB23">
        <v>267</v>
      </c>
      <c r="CE23">
        <v>74</v>
      </c>
      <c r="CF23">
        <v>39</v>
      </c>
      <c r="CG23">
        <v>75</v>
      </c>
      <c r="CH23">
        <v>20</v>
      </c>
      <c r="CI23">
        <v>78</v>
      </c>
      <c r="CJ23">
        <v>279</v>
      </c>
      <c r="CK23">
        <v>79</v>
      </c>
      <c r="CL23">
        <v>110</v>
      </c>
      <c r="CO23">
        <v>81</v>
      </c>
      <c r="CP23">
        <v>68</v>
      </c>
      <c r="CS23">
        <v>83</v>
      </c>
      <c r="CT23">
        <v>36</v>
      </c>
      <c r="CW23">
        <v>85</v>
      </c>
      <c r="CX23">
        <v>117</v>
      </c>
      <c r="CY23">
        <v>86</v>
      </c>
      <c r="CZ23">
        <v>72</v>
      </c>
      <c r="DA23">
        <v>87</v>
      </c>
      <c r="DB23">
        <v>106</v>
      </c>
    </row>
    <row r="24" spans="1:106">
      <c r="C24">
        <v>4</v>
      </c>
      <c r="D24">
        <v>51</v>
      </c>
      <c r="K24">
        <v>11</v>
      </c>
      <c r="Q24">
        <v>14</v>
      </c>
      <c r="R24">
        <v>48</v>
      </c>
      <c r="AC24">
        <v>22</v>
      </c>
      <c r="AD24">
        <v>15</v>
      </c>
      <c r="AU24">
        <v>38</v>
      </c>
      <c r="AV24">
        <v>137</v>
      </c>
      <c r="AY24">
        <v>43</v>
      </c>
      <c r="AZ24">
        <v>58</v>
      </c>
      <c r="BE24">
        <v>48</v>
      </c>
      <c r="BF24">
        <v>47</v>
      </c>
      <c r="BG24">
        <v>49</v>
      </c>
      <c r="BH24">
        <v>29</v>
      </c>
      <c r="BI24">
        <v>52</v>
      </c>
      <c r="BJ24">
        <v>43</v>
      </c>
      <c r="BM24">
        <v>55</v>
      </c>
      <c r="BN24">
        <v>79</v>
      </c>
      <c r="BQ24">
        <v>58</v>
      </c>
      <c r="BR24">
        <v>80</v>
      </c>
      <c r="CA24">
        <v>68</v>
      </c>
      <c r="CB24">
        <v>82</v>
      </c>
      <c r="CE24">
        <v>74</v>
      </c>
      <c r="CF24">
        <v>48</v>
      </c>
      <c r="CI24">
        <v>78</v>
      </c>
      <c r="CJ24">
        <v>87</v>
      </c>
      <c r="CW24">
        <v>85</v>
      </c>
      <c r="CX24">
        <v>55</v>
      </c>
      <c r="CY24">
        <v>86</v>
      </c>
      <c r="CZ24">
        <v>57</v>
      </c>
      <c r="DA24">
        <v>87</v>
      </c>
      <c r="DB24">
        <v>6</v>
      </c>
    </row>
    <row r="25" spans="1:106">
      <c r="C25">
        <v>4</v>
      </c>
      <c r="D25">
        <v>62</v>
      </c>
      <c r="AY25">
        <v>43</v>
      </c>
      <c r="AZ25">
        <v>55</v>
      </c>
      <c r="BE25">
        <v>48</v>
      </c>
      <c r="BF25">
        <v>57</v>
      </c>
      <c r="CE25">
        <v>74</v>
      </c>
      <c r="CF25">
        <v>31</v>
      </c>
      <c r="CI25">
        <v>78</v>
      </c>
      <c r="CJ25">
        <v>80</v>
      </c>
      <c r="CW25">
        <v>85</v>
      </c>
      <c r="CX25">
        <v>203</v>
      </c>
      <c r="DA25">
        <v>87</v>
      </c>
      <c r="DB25">
        <v>88</v>
      </c>
    </row>
    <row r="26" spans="1:106">
      <c r="CW26">
        <v>85</v>
      </c>
      <c r="CX26">
        <v>125</v>
      </c>
      <c r="DA26">
        <v>87</v>
      </c>
      <c r="DB26">
        <v>100</v>
      </c>
    </row>
    <row r="30" spans="1:106">
      <c r="A30" t="s">
        <v>278</v>
      </c>
    </row>
    <row r="31" spans="1:106">
      <c r="A31">
        <f t="shared" ref="A31:A65" si="0">AVERAGE(B1,D1,F1,H1,J1,L1,N1,P1,R1,T1+V1,X1,Z1,AB1,AD1,AF1,AH1,AJ1,AL1,AN1,AP1,AR1,AT1,AV1,AX1,AZ1,BB1,BD1+BF1,BH1,BJ1,BL1,BN1,BP1,BR1,BT1,BV1,BX1,BZ1,CB1,CD1,CF1,CH1,CJ1,CL1,CN1,CP1,CR1,CT1,CV1,CX1,DB1,CZ1)</f>
        <v>109.53333333333333</v>
      </c>
      <c r="C31">
        <f>AVERAGE(A31:A48)</f>
        <v>35.703020515229824</v>
      </c>
    </row>
    <row r="32" spans="1:106">
      <c r="A32">
        <f t="shared" si="0"/>
        <v>63.477272727272727</v>
      </c>
    </row>
    <row r="33" spans="1:1">
      <c r="A33">
        <f t="shared" si="0"/>
        <v>41.5</v>
      </c>
    </row>
    <row r="34" spans="1:1">
      <c r="A34">
        <f t="shared" si="0"/>
        <v>56.477272727272727</v>
      </c>
    </row>
    <row r="35" spans="1:1">
      <c r="A35">
        <f t="shared" si="0"/>
        <v>63.909090909090907</v>
      </c>
    </row>
    <row r="36" spans="1:1">
      <c r="A36">
        <f t="shared" si="0"/>
        <v>21.977272727272727</v>
      </c>
    </row>
    <row r="37" spans="1:1">
      <c r="A37">
        <f t="shared" si="0"/>
        <v>21.34090909090909</v>
      </c>
    </row>
    <row r="38" spans="1:1">
      <c r="A38">
        <f t="shared" si="0"/>
        <v>17.181818181818183</v>
      </c>
    </row>
    <row r="39" spans="1:1">
      <c r="A39">
        <f t="shared" si="0"/>
        <v>18.204545454545453</v>
      </c>
    </row>
    <row r="40" spans="1:1">
      <c r="A40">
        <f t="shared" si="0"/>
        <v>21.295454545454547</v>
      </c>
    </row>
    <row r="41" spans="1:1">
      <c r="A41">
        <f t="shared" si="0"/>
        <v>19.386363636363637</v>
      </c>
    </row>
    <row r="42" spans="1:1">
      <c r="A42">
        <f t="shared" si="0"/>
        <v>17.545454545454547</v>
      </c>
    </row>
    <row r="43" spans="1:1">
      <c r="A43">
        <f t="shared" si="0"/>
        <v>30.545454545454547</v>
      </c>
    </row>
    <row r="44" spans="1:1">
      <c r="A44">
        <f t="shared" si="0"/>
        <v>24.227272727272727</v>
      </c>
    </row>
    <row r="45" spans="1:1">
      <c r="A45">
        <f t="shared" si="0"/>
        <v>21.727272727272727</v>
      </c>
    </row>
    <row r="46" spans="1:1">
      <c r="A46">
        <f t="shared" si="0"/>
        <v>16.930232558139537</v>
      </c>
    </row>
    <row r="47" spans="1:1">
      <c r="A47">
        <f t="shared" si="0"/>
        <v>34.418604651162788</v>
      </c>
    </row>
    <row r="48" spans="1:1">
      <c r="A48">
        <f t="shared" si="0"/>
        <v>42.97674418604651</v>
      </c>
    </row>
    <row r="49" spans="1:1">
      <c r="A49">
        <f t="shared" si="0"/>
        <v>96.744186046511629</v>
      </c>
    </row>
    <row r="50" spans="1:1">
      <c r="A50">
        <f t="shared" si="0"/>
        <v>169.15</v>
      </c>
    </row>
    <row r="51" spans="1:1">
      <c r="A51">
        <f t="shared" si="0"/>
        <v>135.4</v>
      </c>
    </row>
    <row r="52" spans="1:1">
      <c r="A52">
        <f t="shared" si="0"/>
        <v>157.07142857142858</v>
      </c>
    </row>
    <row r="53" spans="1:1">
      <c r="A53">
        <f t="shared" si="0"/>
        <v>100.70833333333333</v>
      </c>
    </row>
    <row r="54" spans="1:1">
      <c r="A54">
        <f t="shared" si="0"/>
        <v>54.235294117647058</v>
      </c>
    </row>
    <row r="55" spans="1:1">
      <c r="A55">
        <f t="shared" si="0"/>
        <v>72</v>
      </c>
    </row>
    <row r="56" spans="1:1">
      <c r="A56">
        <f t="shared" si="0"/>
        <v>56.25</v>
      </c>
    </row>
    <row r="57" spans="1:1">
      <c r="A57">
        <f t="shared" si="0"/>
        <v>0</v>
      </c>
    </row>
    <row r="58" spans="1:1">
      <c r="A58">
        <f t="shared" si="0"/>
        <v>0</v>
      </c>
    </row>
    <row r="59" spans="1:1">
      <c r="A59">
        <f t="shared" si="0"/>
        <v>0</v>
      </c>
    </row>
    <row r="60" spans="1:1">
      <c r="A60">
        <f t="shared" si="0"/>
        <v>0</v>
      </c>
    </row>
    <row r="61" spans="1:1">
      <c r="A61">
        <f t="shared" si="0"/>
        <v>0</v>
      </c>
    </row>
    <row r="62" spans="1:1">
      <c r="A62">
        <f t="shared" si="0"/>
        <v>0</v>
      </c>
    </row>
    <row r="63" spans="1:1">
      <c r="A63">
        <f t="shared" si="0"/>
        <v>0</v>
      </c>
    </row>
    <row r="64" spans="1:1">
      <c r="A64">
        <f t="shared" si="0"/>
        <v>0</v>
      </c>
    </row>
    <row r="65" spans="1:1">
      <c r="A65">
        <f t="shared" si="0"/>
        <v>0</v>
      </c>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5"/>
  <sheetViews>
    <sheetView topLeftCell="A21" workbookViewId="0">
      <selection activeCell="C25" sqref="C25"/>
    </sheetView>
  </sheetViews>
  <sheetFormatPr baseColWidth="10" defaultColWidth="11" defaultRowHeight="15" x14ac:dyDescent="0"/>
  <sheetData>
    <row r="1" spans="1:24">
      <c r="A1">
        <v>7</v>
      </c>
      <c r="B1">
        <v>202</v>
      </c>
      <c r="C1">
        <v>21</v>
      </c>
      <c r="D1">
        <v>60</v>
      </c>
      <c r="E1">
        <v>25</v>
      </c>
      <c r="F1">
        <v>136</v>
      </c>
      <c r="G1">
        <v>26</v>
      </c>
      <c r="H1">
        <v>6</v>
      </c>
      <c r="I1">
        <v>35</v>
      </c>
      <c r="J1">
        <v>59</v>
      </c>
      <c r="K1">
        <v>37</v>
      </c>
      <c r="L1">
        <v>355</v>
      </c>
      <c r="M1">
        <v>56</v>
      </c>
      <c r="N1">
        <v>28</v>
      </c>
      <c r="O1">
        <v>66</v>
      </c>
      <c r="P1">
        <v>16</v>
      </c>
      <c r="Q1">
        <v>69</v>
      </c>
      <c r="R1">
        <v>37</v>
      </c>
      <c r="S1">
        <v>70</v>
      </c>
      <c r="T1">
        <v>14</v>
      </c>
      <c r="U1">
        <v>76</v>
      </c>
      <c r="V1">
        <v>20</v>
      </c>
      <c r="W1">
        <v>77</v>
      </c>
      <c r="X1">
        <v>62</v>
      </c>
    </row>
    <row r="2" spans="1:24">
      <c r="A2">
        <v>7</v>
      </c>
      <c r="B2">
        <v>83</v>
      </c>
      <c r="C2">
        <v>21</v>
      </c>
      <c r="D2">
        <v>141</v>
      </c>
      <c r="E2">
        <v>25</v>
      </c>
      <c r="F2">
        <v>114</v>
      </c>
      <c r="G2">
        <v>26</v>
      </c>
      <c r="H2">
        <v>75</v>
      </c>
      <c r="I2">
        <v>35</v>
      </c>
      <c r="J2">
        <v>55</v>
      </c>
      <c r="K2">
        <v>37</v>
      </c>
      <c r="L2">
        <v>129</v>
      </c>
      <c r="M2">
        <v>56</v>
      </c>
      <c r="N2">
        <v>39</v>
      </c>
      <c r="O2">
        <v>66</v>
      </c>
      <c r="P2">
        <v>18</v>
      </c>
      <c r="Q2">
        <v>69</v>
      </c>
      <c r="R2">
        <v>45</v>
      </c>
      <c r="S2">
        <v>70</v>
      </c>
      <c r="T2">
        <v>16</v>
      </c>
      <c r="U2">
        <v>76</v>
      </c>
      <c r="V2">
        <v>16</v>
      </c>
      <c r="W2">
        <v>77</v>
      </c>
      <c r="X2">
        <v>76</v>
      </c>
    </row>
    <row r="3" spans="1:24">
      <c r="A3">
        <v>7</v>
      </c>
      <c r="B3">
        <v>375</v>
      </c>
      <c r="C3">
        <v>21</v>
      </c>
      <c r="D3">
        <v>120</v>
      </c>
      <c r="E3">
        <v>25</v>
      </c>
      <c r="F3">
        <v>207</v>
      </c>
      <c r="G3">
        <v>26</v>
      </c>
      <c r="H3">
        <v>160</v>
      </c>
      <c r="I3">
        <v>35</v>
      </c>
      <c r="J3">
        <v>71</v>
      </c>
      <c r="K3">
        <v>37</v>
      </c>
      <c r="L3">
        <v>115</v>
      </c>
      <c r="M3">
        <v>56</v>
      </c>
      <c r="N3">
        <v>93</v>
      </c>
      <c r="O3">
        <v>66</v>
      </c>
      <c r="P3">
        <v>13</v>
      </c>
      <c r="Q3">
        <v>69</v>
      </c>
      <c r="R3">
        <v>59</v>
      </c>
      <c r="S3">
        <v>70</v>
      </c>
      <c r="T3">
        <v>20</v>
      </c>
      <c r="U3">
        <v>76</v>
      </c>
      <c r="V3">
        <v>43</v>
      </c>
      <c r="W3">
        <v>77</v>
      </c>
      <c r="X3">
        <v>500</v>
      </c>
    </row>
    <row r="4" spans="1:24">
      <c r="A4">
        <v>7</v>
      </c>
      <c r="B4">
        <v>73</v>
      </c>
      <c r="C4">
        <v>21</v>
      </c>
      <c r="D4">
        <v>105</v>
      </c>
      <c r="E4">
        <v>25</v>
      </c>
      <c r="F4">
        <v>69</v>
      </c>
      <c r="G4">
        <v>26</v>
      </c>
      <c r="H4">
        <v>61</v>
      </c>
      <c r="I4">
        <v>35</v>
      </c>
      <c r="J4">
        <v>11</v>
      </c>
      <c r="K4">
        <v>37</v>
      </c>
      <c r="L4">
        <v>34</v>
      </c>
      <c r="O4">
        <v>66</v>
      </c>
      <c r="P4">
        <v>27</v>
      </c>
      <c r="S4">
        <v>70</v>
      </c>
      <c r="T4">
        <v>130</v>
      </c>
      <c r="U4">
        <v>76</v>
      </c>
      <c r="V4">
        <v>226</v>
      </c>
      <c r="W4">
        <v>77</v>
      </c>
      <c r="X4">
        <v>154</v>
      </c>
    </row>
    <row r="5" spans="1:24">
      <c r="A5">
        <v>7</v>
      </c>
      <c r="B5">
        <v>32</v>
      </c>
      <c r="C5">
        <v>21</v>
      </c>
      <c r="D5">
        <v>148</v>
      </c>
      <c r="E5">
        <v>25</v>
      </c>
      <c r="F5">
        <v>5</v>
      </c>
      <c r="G5">
        <v>26</v>
      </c>
      <c r="H5">
        <v>14</v>
      </c>
      <c r="I5">
        <v>35</v>
      </c>
      <c r="J5">
        <v>31</v>
      </c>
      <c r="K5">
        <v>37</v>
      </c>
      <c r="L5">
        <v>55</v>
      </c>
      <c r="O5">
        <v>66</v>
      </c>
      <c r="P5">
        <v>11</v>
      </c>
      <c r="S5">
        <v>70</v>
      </c>
      <c r="T5">
        <v>261</v>
      </c>
      <c r="U5">
        <v>76</v>
      </c>
      <c r="V5">
        <v>55</v>
      </c>
      <c r="W5">
        <v>77</v>
      </c>
      <c r="X5">
        <v>110</v>
      </c>
    </row>
    <row r="6" spans="1:24">
      <c r="A6">
        <v>7</v>
      </c>
      <c r="B6">
        <v>33</v>
      </c>
      <c r="E6">
        <v>25</v>
      </c>
      <c r="F6">
        <v>21</v>
      </c>
      <c r="G6">
        <v>26</v>
      </c>
      <c r="H6">
        <v>148</v>
      </c>
      <c r="K6">
        <v>37</v>
      </c>
      <c r="L6">
        <v>88</v>
      </c>
      <c r="O6">
        <v>66</v>
      </c>
      <c r="P6">
        <v>6</v>
      </c>
      <c r="S6">
        <v>70</v>
      </c>
      <c r="T6">
        <v>132</v>
      </c>
      <c r="U6">
        <v>76</v>
      </c>
      <c r="V6">
        <v>44</v>
      </c>
      <c r="W6">
        <v>77</v>
      </c>
      <c r="X6">
        <v>267</v>
      </c>
    </row>
    <row r="7" spans="1:24">
      <c r="A7">
        <v>7</v>
      </c>
      <c r="B7">
        <v>47</v>
      </c>
      <c r="E7">
        <v>25</v>
      </c>
      <c r="F7">
        <v>48</v>
      </c>
      <c r="G7">
        <v>26</v>
      </c>
      <c r="H7">
        <v>54</v>
      </c>
      <c r="O7">
        <v>66</v>
      </c>
      <c r="P7">
        <v>8</v>
      </c>
      <c r="U7">
        <v>76</v>
      </c>
      <c r="V7">
        <v>54</v>
      </c>
      <c r="W7">
        <v>77</v>
      </c>
      <c r="X7">
        <v>158</v>
      </c>
    </row>
    <row r="8" spans="1:24">
      <c r="A8">
        <v>7</v>
      </c>
      <c r="B8">
        <v>475</v>
      </c>
      <c r="E8">
        <v>25</v>
      </c>
      <c r="F8">
        <v>69</v>
      </c>
      <c r="G8">
        <v>26</v>
      </c>
      <c r="H8">
        <v>21</v>
      </c>
      <c r="O8">
        <v>66</v>
      </c>
      <c r="P8">
        <v>14</v>
      </c>
      <c r="U8">
        <v>76</v>
      </c>
      <c r="V8">
        <v>131</v>
      </c>
      <c r="W8">
        <v>77</v>
      </c>
      <c r="X8">
        <v>36</v>
      </c>
    </row>
    <row r="9" spans="1:24">
      <c r="A9">
        <v>7</v>
      </c>
      <c r="B9">
        <v>199</v>
      </c>
      <c r="E9">
        <v>25</v>
      </c>
      <c r="F9">
        <v>70</v>
      </c>
      <c r="G9">
        <v>26</v>
      </c>
      <c r="H9">
        <v>21</v>
      </c>
      <c r="O9">
        <v>66</v>
      </c>
      <c r="P9">
        <v>18</v>
      </c>
      <c r="W9">
        <v>77</v>
      </c>
      <c r="X9">
        <v>43</v>
      </c>
    </row>
    <row r="10" spans="1:24">
      <c r="A10">
        <v>7</v>
      </c>
      <c r="B10">
        <v>225</v>
      </c>
      <c r="E10">
        <v>25</v>
      </c>
      <c r="F10">
        <v>25</v>
      </c>
      <c r="G10">
        <v>26</v>
      </c>
      <c r="H10">
        <v>53</v>
      </c>
      <c r="O10">
        <v>66</v>
      </c>
      <c r="P10">
        <v>15</v>
      </c>
      <c r="W10">
        <v>77</v>
      </c>
      <c r="X10">
        <v>38</v>
      </c>
    </row>
    <row r="11" spans="1:24">
      <c r="A11">
        <v>7</v>
      </c>
      <c r="B11">
        <v>14</v>
      </c>
      <c r="E11">
        <v>25</v>
      </c>
      <c r="F11">
        <v>15</v>
      </c>
      <c r="G11">
        <v>26</v>
      </c>
      <c r="H11">
        <v>40</v>
      </c>
      <c r="O11">
        <v>66</v>
      </c>
      <c r="P11">
        <v>57</v>
      </c>
      <c r="W11">
        <v>77</v>
      </c>
      <c r="X11">
        <v>25</v>
      </c>
    </row>
    <row r="12" spans="1:24">
      <c r="A12">
        <v>7</v>
      </c>
      <c r="B12">
        <v>168</v>
      </c>
      <c r="E12">
        <v>25</v>
      </c>
      <c r="F12">
        <v>59</v>
      </c>
      <c r="G12">
        <v>26</v>
      </c>
      <c r="H12">
        <v>69</v>
      </c>
      <c r="W12">
        <v>77</v>
      </c>
      <c r="X12">
        <v>40</v>
      </c>
    </row>
    <row r="13" spans="1:24">
      <c r="A13">
        <v>7</v>
      </c>
      <c r="B13">
        <v>49</v>
      </c>
      <c r="E13">
        <v>25</v>
      </c>
      <c r="F13">
        <v>59</v>
      </c>
      <c r="G13">
        <v>26</v>
      </c>
      <c r="H13">
        <v>35</v>
      </c>
      <c r="W13">
        <v>77</v>
      </c>
      <c r="X13">
        <v>63</v>
      </c>
    </row>
    <row r="14" spans="1:24">
      <c r="A14">
        <v>7</v>
      </c>
      <c r="B14">
        <v>221</v>
      </c>
      <c r="E14">
        <v>25</v>
      </c>
      <c r="F14">
        <v>88</v>
      </c>
      <c r="G14">
        <v>26</v>
      </c>
      <c r="H14">
        <v>23</v>
      </c>
    </row>
    <row r="15" spans="1:24">
      <c r="A15">
        <v>7</v>
      </c>
      <c r="B15">
        <v>320</v>
      </c>
      <c r="G15">
        <v>26</v>
      </c>
      <c r="H15">
        <v>178</v>
      </c>
    </row>
    <row r="16" spans="1:24">
      <c r="A16">
        <v>7</v>
      </c>
      <c r="B16">
        <v>184</v>
      </c>
      <c r="G16">
        <v>26</v>
      </c>
      <c r="H16">
        <v>94</v>
      </c>
    </row>
    <row r="17" spans="1:8">
      <c r="A17">
        <v>7</v>
      </c>
      <c r="B17">
        <v>43</v>
      </c>
      <c r="G17">
        <v>26</v>
      </c>
      <c r="H17">
        <v>101</v>
      </c>
    </row>
    <row r="18" spans="1:8">
      <c r="A18">
        <v>7</v>
      </c>
      <c r="B18">
        <v>121</v>
      </c>
      <c r="G18">
        <v>26</v>
      </c>
      <c r="H18">
        <v>87</v>
      </c>
    </row>
    <row r="19" spans="1:8">
      <c r="A19">
        <v>7</v>
      </c>
      <c r="B19">
        <v>39</v>
      </c>
      <c r="G19">
        <v>26</v>
      </c>
      <c r="H19">
        <v>102</v>
      </c>
    </row>
    <row r="20" spans="1:8">
      <c r="A20">
        <v>7</v>
      </c>
      <c r="B20">
        <v>80</v>
      </c>
      <c r="G20">
        <v>26</v>
      </c>
      <c r="H20">
        <v>33</v>
      </c>
    </row>
    <row r="21" spans="1:8">
      <c r="A21">
        <v>7</v>
      </c>
      <c r="B21">
        <v>107</v>
      </c>
      <c r="G21">
        <v>26</v>
      </c>
      <c r="H21">
        <v>24</v>
      </c>
    </row>
    <row r="22" spans="1:8">
      <c r="A22">
        <v>7</v>
      </c>
      <c r="B22">
        <v>230</v>
      </c>
      <c r="G22">
        <v>26</v>
      </c>
      <c r="H22">
        <v>34</v>
      </c>
    </row>
    <row r="23" spans="1:8">
      <c r="A23">
        <v>7</v>
      </c>
      <c r="B23">
        <v>16</v>
      </c>
      <c r="G23">
        <v>26</v>
      </c>
      <c r="H23">
        <v>20</v>
      </c>
    </row>
    <row r="24" spans="1:8">
      <c r="A24" t="s">
        <v>278</v>
      </c>
    </row>
    <row r="25" spans="1:8">
      <c r="A25">
        <f>AVERAGE(B1,D1,F1,H1,J1,L1,N1,P1,R1,T1,V1,X1,Z1,AB1,AD1,AF1)</f>
        <v>82.916666666666671</v>
      </c>
      <c r="C25">
        <f>AVERAGE(A25:A41)</f>
        <v>85.396354166666683</v>
      </c>
    </row>
    <row r="26" spans="1:8">
      <c r="A26">
        <f t="shared" ref="A26:A45" si="0">AVERAGE(B2,D2,F2,H2,J2,L2,N2,P2,R2,T2,V2,X2,Z2,AB2,AD2,AF2)</f>
        <v>67.25</v>
      </c>
    </row>
    <row r="27" spans="1:8">
      <c r="A27">
        <f t="shared" si="0"/>
        <v>148</v>
      </c>
    </row>
    <row r="28" spans="1:8">
      <c r="A28">
        <f t="shared" si="0"/>
        <v>89</v>
      </c>
    </row>
    <row r="29" spans="1:8">
      <c r="A29">
        <f t="shared" si="0"/>
        <v>72.2</v>
      </c>
    </row>
    <row r="30" spans="1:8">
      <c r="A30">
        <f t="shared" si="0"/>
        <v>92.375</v>
      </c>
    </row>
    <row r="31" spans="1:8">
      <c r="A31">
        <f t="shared" si="0"/>
        <v>61.5</v>
      </c>
    </row>
    <row r="32" spans="1:8">
      <c r="A32">
        <f t="shared" si="0"/>
        <v>124.33333333333333</v>
      </c>
    </row>
    <row r="33" spans="1:1">
      <c r="A33">
        <f t="shared" si="0"/>
        <v>70.2</v>
      </c>
    </row>
    <row r="34" spans="1:1">
      <c r="A34">
        <f t="shared" si="0"/>
        <v>71.2</v>
      </c>
    </row>
    <row r="35" spans="1:1">
      <c r="A35">
        <f t="shared" si="0"/>
        <v>30.2</v>
      </c>
    </row>
    <row r="36" spans="1:1">
      <c r="A36">
        <f t="shared" si="0"/>
        <v>84</v>
      </c>
    </row>
    <row r="37" spans="1:1">
      <c r="A37">
        <f t="shared" si="0"/>
        <v>51.5</v>
      </c>
    </row>
    <row r="38" spans="1:1">
      <c r="A38">
        <f t="shared" si="0"/>
        <v>110.66666666666667</v>
      </c>
    </row>
    <row r="40" spans="1:1">
      <c r="A40">
        <f t="shared" si="0"/>
        <v>139</v>
      </c>
    </row>
    <row r="41" spans="1:1">
      <c r="A41">
        <f t="shared" si="0"/>
        <v>72</v>
      </c>
    </row>
    <row r="42" spans="1:1">
      <c r="A42">
        <f t="shared" si="0"/>
        <v>104</v>
      </c>
    </row>
    <row r="43" spans="1:1">
      <c r="A43">
        <f t="shared" si="0"/>
        <v>70.5</v>
      </c>
    </row>
    <row r="44" spans="1:1">
      <c r="A44">
        <f t="shared" si="0"/>
        <v>56.5</v>
      </c>
    </row>
    <row r="45" spans="1:1">
      <c r="A45">
        <f t="shared" si="0"/>
        <v>65.5</v>
      </c>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70"/>
  <sheetViews>
    <sheetView topLeftCell="A36" workbookViewId="0">
      <selection activeCell="B40" sqref="B40"/>
    </sheetView>
  </sheetViews>
  <sheetFormatPr baseColWidth="10" defaultColWidth="11" defaultRowHeight="15" x14ac:dyDescent="0"/>
  <sheetData>
    <row r="1" spans="1:102">
      <c r="A1">
        <v>4</v>
      </c>
      <c r="B1">
        <v>53</v>
      </c>
      <c r="C1">
        <v>5</v>
      </c>
      <c r="D1">
        <v>61</v>
      </c>
      <c r="E1">
        <v>6</v>
      </c>
      <c r="F1">
        <v>61</v>
      </c>
      <c r="G1">
        <v>8</v>
      </c>
      <c r="H1">
        <v>47</v>
      </c>
      <c r="I1">
        <v>11</v>
      </c>
      <c r="J1">
        <v>61</v>
      </c>
      <c r="K1">
        <v>12</v>
      </c>
      <c r="L1">
        <v>61</v>
      </c>
      <c r="M1">
        <v>13</v>
      </c>
      <c r="N1">
        <v>61</v>
      </c>
      <c r="O1">
        <v>14</v>
      </c>
      <c r="P1">
        <v>15</v>
      </c>
      <c r="Q1">
        <v>15</v>
      </c>
      <c r="R1">
        <v>61</v>
      </c>
      <c r="S1">
        <v>16</v>
      </c>
      <c r="T1">
        <v>61</v>
      </c>
      <c r="U1">
        <v>17</v>
      </c>
      <c r="V1">
        <v>40</v>
      </c>
      <c r="W1">
        <v>19</v>
      </c>
      <c r="X1">
        <v>174</v>
      </c>
      <c r="Y1">
        <v>20</v>
      </c>
      <c r="Z1">
        <v>10</v>
      </c>
      <c r="AA1">
        <v>22</v>
      </c>
      <c r="AB1">
        <v>36</v>
      </c>
      <c r="AC1">
        <v>23</v>
      </c>
      <c r="AD1">
        <v>83</v>
      </c>
      <c r="AE1">
        <v>24</v>
      </c>
      <c r="AF1">
        <v>66</v>
      </c>
      <c r="AG1">
        <v>27</v>
      </c>
      <c r="AH1">
        <v>216</v>
      </c>
      <c r="AI1">
        <v>30</v>
      </c>
      <c r="AJ1">
        <v>70</v>
      </c>
      <c r="AK1">
        <v>32</v>
      </c>
      <c r="AL1">
        <v>29</v>
      </c>
      <c r="AM1">
        <v>33</v>
      </c>
      <c r="AN1">
        <v>22</v>
      </c>
      <c r="AO1">
        <v>36</v>
      </c>
      <c r="AP1">
        <v>55</v>
      </c>
      <c r="AQ1">
        <v>38</v>
      </c>
      <c r="AR1">
        <v>28</v>
      </c>
      <c r="AS1">
        <v>42</v>
      </c>
      <c r="AT1">
        <v>31</v>
      </c>
      <c r="AU1" s="1">
        <v>43</v>
      </c>
      <c r="AV1" s="1">
        <v>23</v>
      </c>
      <c r="AW1" s="1">
        <v>45</v>
      </c>
      <c r="AX1" s="1">
        <v>46</v>
      </c>
      <c r="AY1" s="1">
        <v>47</v>
      </c>
      <c r="AZ1" s="1">
        <v>108</v>
      </c>
      <c r="BA1" s="1">
        <v>48</v>
      </c>
      <c r="BB1" s="1">
        <v>310</v>
      </c>
      <c r="BC1" s="1">
        <v>49</v>
      </c>
      <c r="BD1" s="1">
        <v>20</v>
      </c>
      <c r="BE1" s="1">
        <v>52</v>
      </c>
      <c r="BF1" s="1">
        <v>124</v>
      </c>
      <c r="BG1" s="1">
        <v>54</v>
      </c>
      <c r="BH1" s="1">
        <v>21</v>
      </c>
      <c r="BI1" s="1">
        <v>55</v>
      </c>
      <c r="BJ1" s="1">
        <v>24</v>
      </c>
      <c r="BK1" s="1">
        <v>57</v>
      </c>
      <c r="BL1" s="1">
        <v>674</v>
      </c>
      <c r="BM1" s="1">
        <v>58</v>
      </c>
      <c r="BN1" s="1">
        <v>26</v>
      </c>
      <c r="BO1" s="1">
        <v>62</v>
      </c>
      <c r="BP1" s="1">
        <v>22</v>
      </c>
      <c r="BQ1" s="1">
        <v>63</v>
      </c>
      <c r="BR1" s="1">
        <v>42</v>
      </c>
      <c r="BS1" s="1">
        <v>64</v>
      </c>
      <c r="BT1" s="1">
        <v>27</v>
      </c>
      <c r="BU1" s="1">
        <v>65</v>
      </c>
      <c r="BV1" s="1">
        <v>25</v>
      </c>
      <c r="BW1" s="1">
        <v>68</v>
      </c>
      <c r="BX1" s="1">
        <v>132</v>
      </c>
      <c r="BY1" s="1">
        <v>73</v>
      </c>
      <c r="BZ1" s="1">
        <v>34</v>
      </c>
      <c r="CA1" s="1">
        <v>74</v>
      </c>
      <c r="CB1" s="1">
        <v>12</v>
      </c>
      <c r="CC1" s="1">
        <v>75</v>
      </c>
      <c r="CD1" s="1">
        <v>22</v>
      </c>
      <c r="CE1" s="1">
        <v>78</v>
      </c>
      <c r="CF1" s="1">
        <v>31</v>
      </c>
      <c r="CG1" s="1">
        <v>79</v>
      </c>
      <c r="CH1" s="1">
        <v>34</v>
      </c>
      <c r="CI1" s="1">
        <v>80</v>
      </c>
      <c r="CJ1" s="1">
        <v>22</v>
      </c>
      <c r="CK1" s="1">
        <v>81</v>
      </c>
      <c r="CL1" s="1">
        <v>24</v>
      </c>
      <c r="CM1" s="1">
        <v>82</v>
      </c>
      <c r="CN1" s="1">
        <v>22</v>
      </c>
      <c r="CO1" s="1">
        <v>83</v>
      </c>
      <c r="CP1" s="1">
        <v>43</v>
      </c>
      <c r="CQ1" s="1">
        <v>84</v>
      </c>
      <c r="CR1" s="1">
        <v>41</v>
      </c>
      <c r="CS1" s="1">
        <v>85</v>
      </c>
      <c r="CT1" s="1">
        <v>30</v>
      </c>
      <c r="CU1" s="1">
        <v>86</v>
      </c>
      <c r="CV1" s="1">
        <v>51</v>
      </c>
      <c r="CW1" s="1">
        <v>87</v>
      </c>
      <c r="CX1" s="1">
        <v>11</v>
      </c>
    </row>
    <row r="2" spans="1:102">
      <c r="A2">
        <v>4</v>
      </c>
      <c r="B2">
        <v>67</v>
      </c>
      <c r="C2">
        <v>5</v>
      </c>
      <c r="D2">
        <v>61</v>
      </c>
      <c r="E2">
        <v>6</v>
      </c>
      <c r="F2">
        <v>61</v>
      </c>
      <c r="G2">
        <v>8</v>
      </c>
      <c r="H2">
        <v>19</v>
      </c>
      <c r="I2">
        <v>11</v>
      </c>
      <c r="J2">
        <v>61</v>
      </c>
      <c r="K2">
        <v>12</v>
      </c>
      <c r="L2">
        <v>61</v>
      </c>
      <c r="M2">
        <v>13</v>
      </c>
      <c r="N2">
        <v>61</v>
      </c>
      <c r="O2">
        <v>14</v>
      </c>
      <c r="P2">
        <v>27</v>
      </c>
      <c r="Q2">
        <v>15</v>
      </c>
      <c r="R2">
        <v>61</v>
      </c>
      <c r="S2">
        <v>16</v>
      </c>
      <c r="T2">
        <v>61</v>
      </c>
      <c r="U2">
        <v>17</v>
      </c>
      <c r="V2">
        <v>38</v>
      </c>
      <c r="W2">
        <v>19</v>
      </c>
      <c r="X2">
        <v>26</v>
      </c>
      <c r="Y2">
        <v>20</v>
      </c>
      <c r="Z2">
        <v>97</v>
      </c>
      <c r="AA2">
        <v>22</v>
      </c>
      <c r="AB2">
        <v>61</v>
      </c>
      <c r="AC2">
        <v>23</v>
      </c>
      <c r="AD2">
        <v>36</v>
      </c>
      <c r="AE2">
        <v>24</v>
      </c>
      <c r="AF2">
        <v>32</v>
      </c>
      <c r="AG2">
        <v>27</v>
      </c>
      <c r="AH2">
        <v>59</v>
      </c>
      <c r="AI2">
        <v>30</v>
      </c>
      <c r="AJ2">
        <v>18</v>
      </c>
      <c r="AK2">
        <v>32</v>
      </c>
      <c r="AL2">
        <v>72</v>
      </c>
      <c r="AM2">
        <v>33</v>
      </c>
      <c r="AN2">
        <v>15</v>
      </c>
      <c r="AO2">
        <v>36</v>
      </c>
      <c r="AP2">
        <v>44</v>
      </c>
      <c r="AQ2">
        <v>38</v>
      </c>
      <c r="AR2">
        <v>82</v>
      </c>
      <c r="AS2">
        <v>42</v>
      </c>
      <c r="AT2">
        <v>89</v>
      </c>
      <c r="AU2" s="1">
        <v>43</v>
      </c>
      <c r="AV2" s="1">
        <v>21</v>
      </c>
      <c r="AW2" s="1">
        <v>45</v>
      </c>
      <c r="AX2" s="1">
        <v>251</v>
      </c>
      <c r="AY2" s="1">
        <v>47</v>
      </c>
      <c r="AZ2" s="1">
        <v>15</v>
      </c>
      <c r="BA2" s="1">
        <v>48</v>
      </c>
      <c r="BB2" s="1">
        <v>72</v>
      </c>
      <c r="BC2" s="1">
        <v>49</v>
      </c>
      <c r="BD2" s="1">
        <v>29</v>
      </c>
      <c r="BE2" s="1">
        <v>52</v>
      </c>
      <c r="BF2" s="1">
        <v>247</v>
      </c>
      <c r="BG2" s="1">
        <v>54</v>
      </c>
      <c r="BH2" s="1">
        <v>72</v>
      </c>
      <c r="BI2" s="1">
        <v>55</v>
      </c>
      <c r="BJ2" s="1">
        <v>19</v>
      </c>
      <c r="BK2" s="1">
        <v>57</v>
      </c>
      <c r="BL2" s="1">
        <v>63</v>
      </c>
      <c r="BM2" s="1">
        <v>58</v>
      </c>
      <c r="BN2" s="1">
        <v>55</v>
      </c>
      <c r="BO2" s="1">
        <v>62</v>
      </c>
      <c r="BP2" s="1">
        <v>32</v>
      </c>
      <c r="BQ2" s="1">
        <v>63</v>
      </c>
      <c r="BR2" s="1">
        <v>23</v>
      </c>
      <c r="BS2" s="1">
        <v>64</v>
      </c>
      <c r="BT2" s="1">
        <v>11</v>
      </c>
      <c r="BW2" s="1">
        <v>68</v>
      </c>
      <c r="BX2" s="1">
        <v>80</v>
      </c>
      <c r="BY2" s="1">
        <v>73</v>
      </c>
      <c r="BZ2" s="1">
        <v>14</v>
      </c>
      <c r="CC2" s="1">
        <v>75</v>
      </c>
      <c r="CD2" s="1">
        <v>1629</v>
      </c>
      <c r="CE2" s="1">
        <v>78</v>
      </c>
      <c r="CF2" s="1">
        <v>28</v>
      </c>
      <c r="CG2" s="1">
        <v>79</v>
      </c>
      <c r="CH2" s="1">
        <v>8</v>
      </c>
      <c r="CI2" s="1">
        <v>80</v>
      </c>
      <c r="CJ2" s="1">
        <v>43</v>
      </c>
      <c r="CK2" s="1">
        <v>81</v>
      </c>
      <c r="CL2" s="1">
        <v>20</v>
      </c>
      <c r="CM2" s="1">
        <v>82</v>
      </c>
      <c r="CN2" s="1">
        <v>30</v>
      </c>
      <c r="CO2" s="1">
        <v>83</v>
      </c>
      <c r="CP2" s="1">
        <v>40</v>
      </c>
      <c r="CQ2" s="1">
        <v>84</v>
      </c>
      <c r="CR2" s="1">
        <v>54</v>
      </c>
      <c r="CS2" s="1">
        <v>85</v>
      </c>
      <c r="CT2" s="1">
        <v>34</v>
      </c>
      <c r="CU2" s="1">
        <v>86</v>
      </c>
      <c r="CV2" s="1">
        <v>9</v>
      </c>
      <c r="CW2" s="1">
        <v>87</v>
      </c>
      <c r="CX2" s="1">
        <v>20</v>
      </c>
    </row>
    <row r="3" spans="1:102">
      <c r="A3">
        <v>4</v>
      </c>
      <c r="B3">
        <v>15</v>
      </c>
      <c r="C3">
        <v>5</v>
      </c>
      <c r="D3">
        <v>61</v>
      </c>
      <c r="E3">
        <v>6</v>
      </c>
      <c r="F3">
        <v>61</v>
      </c>
      <c r="G3">
        <v>8</v>
      </c>
      <c r="H3">
        <v>244</v>
      </c>
      <c r="I3">
        <v>11</v>
      </c>
      <c r="J3">
        <v>61</v>
      </c>
      <c r="K3">
        <v>12</v>
      </c>
      <c r="L3">
        <v>61</v>
      </c>
      <c r="M3">
        <v>13</v>
      </c>
      <c r="N3">
        <v>61</v>
      </c>
      <c r="O3">
        <v>14</v>
      </c>
      <c r="P3">
        <v>21</v>
      </c>
      <c r="Q3">
        <v>15</v>
      </c>
      <c r="R3">
        <v>61</v>
      </c>
      <c r="S3">
        <v>16</v>
      </c>
      <c r="T3">
        <v>61</v>
      </c>
      <c r="U3">
        <v>17</v>
      </c>
      <c r="V3">
        <v>17</v>
      </c>
      <c r="W3">
        <v>19</v>
      </c>
      <c r="X3">
        <v>16</v>
      </c>
      <c r="Y3">
        <v>20</v>
      </c>
      <c r="Z3">
        <v>16</v>
      </c>
      <c r="AA3">
        <v>22</v>
      </c>
      <c r="AB3">
        <v>81</v>
      </c>
      <c r="AC3">
        <v>23</v>
      </c>
      <c r="AD3">
        <v>22</v>
      </c>
      <c r="AE3">
        <v>24</v>
      </c>
      <c r="AF3">
        <v>47</v>
      </c>
      <c r="AG3">
        <v>27</v>
      </c>
      <c r="AH3">
        <v>111</v>
      </c>
      <c r="AI3">
        <v>30</v>
      </c>
      <c r="AJ3">
        <v>10</v>
      </c>
      <c r="AK3">
        <v>32</v>
      </c>
      <c r="AL3">
        <v>40</v>
      </c>
      <c r="AM3">
        <v>33</v>
      </c>
      <c r="AN3">
        <v>38</v>
      </c>
      <c r="AO3">
        <v>36</v>
      </c>
      <c r="AP3">
        <v>25</v>
      </c>
      <c r="AQ3">
        <v>38</v>
      </c>
      <c r="AR3">
        <v>36</v>
      </c>
      <c r="AS3">
        <v>42</v>
      </c>
      <c r="AT3">
        <v>29</v>
      </c>
      <c r="AU3" s="1">
        <v>43</v>
      </c>
      <c r="AV3" s="1">
        <v>22</v>
      </c>
      <c r="AW3" s="1">
        <v>45</v>
      </c>
      <c r="AX3" s="1">
        <v>44</v>
      </c>
      <c r="AY3" s="1">
        <v>47</v>
      </c>
      <c r="AZ3" s="1">
        <v>8</v>
      </c>
      <c r="BA3" s="1">
        <v>48</v>
      </c>
      <c r="BB3" s="1">
        <v>90</v>
      </c>
      <c r="BC3" s="1">
        <v>49</v>
      </c>
      <c r="BD3" s="1">
        <v>39</v>
      </c>
      <c r="BE3" s="1">
        <v>52</v>
      </c>
      <c r="BF3" s="1">
        <v>151</v>
      </c>
      <c r="BG3" s="1">
        <v>54</v>
      </c>
      <c r="BH3" s="1">
        <v>96</v>
      </c>
      <c r="BI3" s="1">
        <v>55</v>
      </c>
      <c r="BJ3" s="1">
        <v>9</v>
      </c>
      <c r="BK3" s="1">
        <v>57</v>
      </c>
      <c r="BL3" s="1">
        <v>78</v>
      </c>
      <c r="BM3" s="1">
        <v>58</v>
      </c>
      <c r="BN3" s="1">
        <v>27</v>
      </c>
      <c r="BO3" s="1">
        <v>62</v>
      </c>
      <c r="BP3" s="1">
        <v>22</v>
      </c>
      <c r="BQ3" s="1">
        <v>63</v>
      </c>
      <c r="BR3" s="1">
        <v>11</v>
      </c>
      <c r="BS3" s="1">
        <v>64</v>
      </c>
      <c r="BT3" s="1">
        <v>21</v>
      </c>
      <c r="BW3" s="1">
        <v>68</v>
      </c>
      <c r="BX3" s="1">
        <v>20</v>
      </c>
      <c r="BY3" s="1">
        <v>73</v>
      </c>
      <c r="BZ3" s="1">
        <v>58</v>
      </c>
      <c r="CC3" s="1">
        <v>75</v>
      </c>
      <c r="CD3" s="1">
        <v>12</v>
      </c>
      <c r="CE3" s="1">
        <v>78</v>
      </c>
      <c r="CF3" s="1">
        <v>123</v>
      </c>
      <c r="CG3" s="1">
        <v>79</v>
      </c>
      <c r="CH3" s="1">
        <v>36</v>
      </c>
      <c r="CI3" s="1">
        <v>80</v>
      </c>
      <c r="CJ3" s="1">
        <v>34</v>
      </c>
      <c r="CK3" s="1">
        <v>81</v>
      </c>
      <c r="CL3" s="1">
        <v>9</v>
      </c>
      <c r="CM3" s="1">
        <v>82</v>
      </c>
      <c r="CN3" s="1">
        <v>27</v>
      </c>
      <c r="CO3" s="1">
        <v>83</v>
      </c>
      <c r="CP3" s="1">
        <v>32</v>
      </c>
      <c r="CQ3" s="1">
        <v>84</v>
      </c>
      <c r="CR3" s="1">
        <v>6303</v>
      </c>
      <c r="CS3" s="1">
        <v>85</v>
      </c>
      <c r="CT3" s="1">
        <v>13</v>
      </c>
      <c r="CU3" s="1">
        <v>86</v>
      </c>
      <c r="CV3" s="1">
        <v>61</v>
      </c>
      <c r="CW3" s="1">
        <v>87</v>
      </c>
      <c r="CX3" s="1">
        <v>5</v>
      </c>
    </row>
    <row r="4" spans="1:102">
      <c r="A4">
        <v>4</v>
      </c>
      <c r="B4">
        <v>26</v>
      </c>
      <c r="C4">
        <v>5</v>
      </c>
      <c r="D4">
        <v>61</v>
      </c>
      <c r="E4">
        <v>6</v>
      </c>
      <c r="F4">
        <v>61</v>
      </c>
      <c r="G4">
        <v>8</v>
      </c>
      <c r="H4">
        <v>93</v>
      </c>
      <c r="I4">
        <v>11</v>
      </c>
      <c r="J4">
        <v>61</v>
      </c>
      <c r="K4">
        <v>12</v>
      </c>
      <c r="L4">
        <v>61</v>
      </c>
      <c r="M4">
        <v>13</v>
      </c>
      <c r="N4">
        <v>61</v>
      </c>
      <c r="O4">
        <v>14</v>
      </c>
      <c r="P4">
        <v>21</v>
      </c>
      <c r="Q4">
        <v>15</v>
      </c>
      <c r="R4">
        <v>61</v>
      </c>
      <c r="S4">
        <v>16</v>
      </c>
      <c r="T4">
        <v>61</v>
      </c>
      <c r="U4">
        <v>17</v>
      </c>
      <c r="V4">
        <v>23</v>
      </c>
      <c r="W4">
        <v>19</v>
      </c>
      <c r="X4">
        <v>13</v>
      </c>
      <c r="Y4">
        <v>20</v>
      </c>
      <c r="Z4">
        <v>16</v>
      </c>
      <c r="AA4">
        <v>22</v>
      </c>
      <c r="AB4">
        <v>22</v>
      </c>
      <c r="AC4">
        <v>23</v>
      </c>
      <c r="AD4">
        <v>60</v>
      </c>
      <c r="AE4">
        <v>24</v>
      </c>
      <c r="AF4">
        <v>61</v>
      </c>
      <c r="AG4">
        <v>27</v>
      </c>
      <c r="AH4">
        <v>192</v>
      </c>
      <c r="AI4">
        <v>30</v>
      </c>
      <c r="AJ4">
        <v>17</v>
      </c>
      <c r="AK4">
        <v>32</v>
      </c>
      <c r="AL4">
        <v>26</v>
      </c>
      <c r="AM4">
        <v>33</v>
      </c>
      <c r="AN4">
        <v>22</v>
      </c>
      <c r="AO4">
        <v>36</v>
      </c>
      <c r="AP4">
        <v>329</v>
      </c>
      <c r="AQ4">
        <v>38</v>
      </c>
      <c r="AR4">
        <v>57</v>
      </c>
      <c r="AS4">
        <v>42</v>
      </c>
      <c r="AT4">
        <v>21</v>
      </c>
      <c r="AU4" s="1">
        <v>43</v>
      </c>
      <c r="AV4" s="1">
        <v>12</v>
      </c>
      <c r="AW4" s="1">
        <v>45</v>
      </c>
      <c r="AX4" s="1">
        <v>258</v>
      </c>
      <c r="AY4" s="1">
        <v>47</v>
      </c>
      <c r="AZ4" s="1">
        <v>12</v>
      </c>
      <c r="BA4" s="1">
        <v>48</v>
      </c>
      <c r="BB4" s="1">
        <v>88</v>
      </c>
      <c r="BC4" s="1">
        <v>49</v>
      </c>
      <c r="BD4" s="1">
        <v>27</v>
      </c>
      <c r="BE4" s="1">
        <v>52</v>
      </c>
      <c r="BF4" s="1">
        <v>422</v>
      </c>
      <c r="BG4" s="1">
        <v>54</v>
      </c>
      <c r="BH4" s="1">
        <v>3</v>
      </c>
      <c r="BI4" s="1">
        <v>55</v>
      </c>
      <c r="BJ4" s="1">
        <v>12</v>
      </c>
      <c r="BK4" s="1">
        <v>57</v>
      </c>
      <c r="BL4" s="1">
        <v>87</v>
      </c>
      <c r="BM4" s="1">
        <v>58</v>
      </c>
      <c r="BN4" s="1">
        <v>198</v>
      </c>
      <c r="BO4" s="1">
        <v>62</v>
      </c>
      <c r="BP4" s="1">
        <v>28</v>
      </c>
      <c r="BQ4" s="1">
        <v>63</v>
      </c>
      <c r="BR4" s="1">
        <v>141</v>
      </c>
      <c r="BS4" s="1">
        <v>64</v>
      </c>
      <c r="BT4" s="1">
        <v>16</v>
      </c>
      <c r="BW4" s="1">
        <v>68</v>
      </c>
      <c r="BX4" s="1">
        <v>201</v>
      </c>
      <c r="BY4" s="1">
        <v>73</v>
      </c>
      <c r="BZ4" s="1">
        <v>30</v>
      </c>
      <c r="CC4" s="1">
        <v>75</v>
      </c>
      <c r="CD4" s="1">
        <v>27</v>
      </c>
      <c r="CE4" s="1">
        <v>78</v>
      </c>
      <c r="CF4" s="1">
        <v>18</v>
      </c>
      <c r="CG4" s="1">
        <v>79</v>
      </c>
      <c r="CH4" s="1">
        <v>12</v>
      </c>
      <c r="CI4" s="1">
        <v>80</v>
      </c>
      <c r="CJ4" s="1">
        <v>16</v>
      </c>
      <c r="CK4" s="1">
        <v>81</v>
      </c>
      <c r="CL4" s="1">
        <v>21</v>
      </c>
      <c r="CM4" s="1">
        <v>82</v>
      </c>
      <c r="CN4" s="1">
        <v>12</v>
      </c>
      <c r="CO4" s="1">
        <v>83</v>
      </c>
      <c r="CP4" s="1">
        <v>60</v>
      </c>
      <c r="CQ4" s="1">
        <v>84</v>
      </c>
      <c r="CR4" s="1">
        <v>11</v>
      </c>
      <c r="CS4" s="1">
        <v>85</v>
      </c>
      <c r="CT4" s="1">
        <v>47</v>
      </c>
      <c r="CU4" s="1">
        <v>86</v>
      </c>
      <c r="CV4" s="1">
        <v>57</v>
      </c>
      <c r="CW4" s="1">
        <v>87</v>
      </c>
      <c r="CX4" s="1">
        <v>66</v>
      </c>
    </row>
    <row r="5" spans="1:102">
      <c r="A5">
        <v>4</v>
      </c>
      <c r="B5">
        <v>12</v>
      </c>
      <c r="C5">
        <v>5</v>
      </c>
      <c r="D5">
        <v>61</v>
      </c>
      <c r="E5">
        <v>6</v>
      </c>
      <c r="F5">
        <v>61</v>
      </c>
      <c r="G5">
        <v>8</v>
      </c>
      <c r="H5">
        <v>203</v>
      </c>
      <c r="I5">
        <v>11</v>
      </c>
      <c r="J5">
        <v>61</v>
      </c>
      <c r="K5">
        <v>12</v>
      </c>
      <c r="L5">
        <v>61</v>
      </c>
      <c r="M5">
        <v>13</v>
      </c>
      <c r="N5">
        <v>61</v>
      </c>
      <c r="O5">
        <v>14</v>
      </c>
      <c r="P5">
        <v>24</v>
      </c>
      <c r="Q5">
        <v>15</v>
      </c>
      <c r="R5">
        <v>61</v>
      </c>
      <c r="S5">
        <v>16</v>
      </c>
      <c r="T5">
        <v>61</v>
      </c>
      <c r="U5">
        <v>17</v>
      </c>
      <c r="V5">
        <v>11</v>
      </c>
      <c r="W5">
        <v>19</v>
      </c>
      <c r="X5">
        <v>59</v>
      </c>
      <c r="Y5">
        <v>20</v>
      </c>
      <c r="Z5">
        <v>15</v>
      </c>
      <c r="AA5">
        <v>22</v>
      </c>
      <c r="AB5">
        <v>16</v>
      </c>
      <c r="AC5">
        <v>23</v>
      </c>
      <c r="AD5">
        <v>14</v>
      </c>
      <c r="AE5">
        <v>24</v>
      </c>
      <c r="AF5">
        <v>81</v>
      </c>
      <c r="AG5">
        <v>27</v>
      </c>
      <c r="AH5">
        <v>88</v>
      </c>
      <c r="AI5">
        <v>30</v>
      </c>
      <c r="AJ5">
        <v>8</v>
      </c>
      <c r="AK5">
        <v>32</v>
      </c>
      <c r="AL5">
        <v>24</v>
      </c>
      <c r="AM5">
        <v>33</v>
      </c>
      <c r="AN5">
        <v>85</v>
      </c>
      <c r="AO5">
        <v>36</v>
      </c>
      <c r="AP5">
        <v>105</v>
      </c>
      <c r="AQ5">
        <v>38</v>
      </c>
      <c r="AR5">
        <v>199</v>
      </c>
      <c r="AS5">
        <v>42</v>
      </c>
      <c r="AT5">
        <v>14</v>
      </c>
      <c r="AU5" s="1">
        <v>43</v>
      </c>
      <c r="AV5" s="1">
        <v>84</v>
      </c>
      <c r="AY5" s="1">
        <v>47</v>
      </c>
      <c r="AZ5" s="1">
        <v>54</v>
      </c>
      <c r="BA5" s="1">
        <v>48</v>
      </c>
      <c r="BB5" s="1">
        <v>126</v>
      </c>
      <c r="BC5" s="1">
        <v>49</v>
      </c>
      <c r="BD5" s="1">
        <v>92</v>
      </c>
      <c r="BE5" s="1">
        <v>52</v>
      </c>
      <c r="BF5" s="1">
        <v>56</v>
      </c>
      <c r="BG5" s="1">
        <v>54</v>
      </c>
      <c r="BH5" s="1">
        <v>12</v>
      </c>
      <c r="BI5" s="1">
        <v>55</v>
      </c>
      <c r="BJ5" s="1">
        <v>88</v>
      </c>
      <c r="BK5" s="1">
        <v>57</v>
      </c>
      <c r="BL5" s="1">
        <v>457</v>
      </c>
      <c r="BM5" s="1">
        <v>58</v>
      </c>
      <c r="BN5" s="1">
        <v>29</v>
      </c>
      <c r="BO5" s="1">
        <v>62</v>
      </c>
      <c r="BP5" s="1">
        <v>23</v>
      </c>
      <c r="BS5" s="1">
        <v>64</v>
      </c>
      <c r="BT5" s="1">
        <v>28</v>
      </c>
      <c r="BY5" s="1">
        <v>73</v>
      </c>
      <c r="BZ5" s="1">
        <v>40</v>
      </c>
      <c r="CC5" s="1">
        <v>75</v>
      </c>
      <c r="CD5" s="1">
        <v>30</v>
      </c>
      <c r="CE5" s="1">
        <v>78</v>
      </c>
      <c r="CF5" s="1">
        <v>72</v>
      </c>
      <c r="CG5" s="1">
        <v>79</v>
      </c>
      <c r="CH5" s="1">
        <v>34</v>
      </c>
      <c r="CI5" s="1">
        <v>80</v>
      </c>
      <c r="CJ5" s="1">
        <v>17</v>
      </c>
      <c r="CK5" s="1">
        <v>81</v>
      </c>
      <c r="CL5" s="1">
        <v>12</v>
      </c>
      <c r="CM5" s="1">
        <v>82</v>
      </c>
      <c r="CN5" s="1">
        <v>40</v>
      </c>
      <c r="CO5" s="1">
        <v>83</v>
      </c>
      <c r="CP5" s="1">
        <v>141</v>
      </c>
      <c r="CQ5" s="1">
        <v>84</v>
      </c>
      <c r="CR5" s="1">
        <v>13</v>
      </c>
      <c r="CS5" s="1">
        <v>85</v>
      </c>
      <c r="CT5" s="1">
        <v>196</v>
      </c>
      <c r="CU5" s="1">
        <v>86</v>
      </c>
      <c r="CV5" s="1">
        <v>2</v>
      </c>
      <c r="CW5" s="1">
        <v>87</v>
      </c>
      <c r="CX5" s="1">
        <v>13</v>
      </c>
    </row>
    <row r="6" spans="1:102">
      <c r="A6">
        <v>4</v>
      </c>
      <c r="B6">
        <v>41</v>
      </c>
      <c r="C6">
        <v>5</v>
      </c>
      <c r="D6">
        <v>61</v>
      </c>
      <c r="E6">
        <v>6</v>
      </c>
      <c r="F6">
        <v>61</v>
      </c>
      <c r="I6">
        <v>11</v>
      </c>
      <c r="J6">
        <v>61</v>
      </c>
      <c r="K6">
        <v>12</v>
      </c>
      <c r="L6">
        <v>61</v>
      </c>
      <c r="M6">
        <v>13</v>
      </c>
      <c r="N6">
        <v>61</v>
      </c>
      <c r="O6">
        <v>14</v>
      </c>
      <c r="P6">
        <v>183</v>
      </c>
      <c r="Q6">
        <v>15</v>
      </c>
      <c r="R6">
        <v>61</v>
      </c>
      <c r="S6">
        <v>16</v>
      </c>
      <c r="T6">
        <v>61</v>
      </c>
      <c r="U6">
        <v>17</v>
      </c>
      <c r="V6">
        <v>37</v>
      </c>
      <c r="W6">
        <v>19</v>
      </c>
      <c r="X6">
        <v>12</v>
      </c>
      <c r="Y6">
        <v>20</v>
      </c>
      <c r="Z6">
        <v>18</v>
      </c>
      <c r="AA6">
        <v>22</v>
      </c>
      <c r="AB6">
        <v>15</v>
      </c>
      <c r="AC6">
        <v>23</v>
      </c>
      <c r="AD6">
        <v>13</v>
      </c>
      <c r="AE6">
        <v>24</v>
      </c>
      <c r="AF6">
        <v>201</v>
      </c>
      <c r="AG6">
        <v>27</v>
      </c>
      <c r="AH6">
        <v>39</v>
      </c>
      <c r="AI6">
        <v>30</v>
      </c>
      <c r="AJ6">
        <v>52</v>
      </c>
      <c r="AK6">
        <v>32</v>
      </c>
      <c r="AL6">
        <v>72</v>
      </c>
      <c r="AM6">
        <v>33</v>
      </c>
      <c r="AN6">
        <v>28</v>
      </c>
      <c r="AQ6">
        <v>38</v>
      </c>
      <c r="AR6">
        <v>54</v>
      </c>
      <c r="AS6">
        <v>42</v>
      </c>
      <c r="AT6">
        <v>26</v>
      </c>
      <c r="AU6" s="1">
        <v>43</v>
      </c>
      <c r="AV6" s="1">
        <v>11</v>
      </c>
      <c r="AY6" s="1">
        <v>47</v>
      </c>
      <c r="AZ6" s="1">
        <v>11</v>
      </c>
      <c r="BC6" s="1">
        <v>49</v>
      </c>
      <c r="BD6" s="1">
        <v>530</v>
      </c>
      <c r="BE6" s="1">
        <v>52</v>
      </c>
      <c r="BF6" s="1">
        <v>32</v>
      </c>
      <c r="BG6" s="1">
        <v>54</v>
      </c>
      <c r="BH6" s="1">
        <v>65</v>
      </c>
      <c r="BI6" s="1">
        <v>55</v>
      </c>
      <c r="BJ6" s="1">
        <v>31</v>
      </c>
      <c r="BK6" s="1">
        <v>57</v>
      </c>
      <c r="BL6" s="1">
        <v>74</v>
      </c>
      <c r="BM6" s="1">
        <v>58</v>
      </c>
      <c r="BN6" s="1">
        <v>251</v>
      </c>
      <c r="BO6" s="1">
        <v>62</v>
      </c>
      <c r="BP6" s="1">
        <v>31</v>
      </c>
      <c r="BS6" s="1">
        <v>64</v>
      </c>
      <c r="BT6" s="1">
        <v>26</v>
      </c>
      <c r="BY6" s="1">
        <v>73</v>
      </c>
      <c r="BZ6" s="1">
        <v>150</v>
      </c>
      <c r="CC6" s="1">
        <v>75</v>
      </c>
      <c r="CD6" s="1">
        <v>41</v>
      </c>
      <c r="CE6" s="1">
        <v>78</v>
      </c>
      <c r="CF6" s="1">
        <v>87</v>
      </c>
      <c r="CI6" s="1">
        <v>80</v>
      </c>
      <c r="CJ6" s="1">
        <v>12</v>
      </c>
      <c r="CK6" s="1">
        <v>81</v>
      </c>
      <c r="CL6" s="1">
        <v>118</v>
      </c>
      <c r="CM6" s="1">
        <v>82</v>
      </c>
      <c r="CN6" s="1">
        <v>9</v>
      </c>
      <c r="CO6" s="1">
        <v>83</v>
      </c>
      <c r="CP6" s="1">
        <v>99</v>
      </c>
      <c r="CQ6" s="1">
        <v>84</v>
      </c>
      <c r="CR6" s="1">
        <v>18</v>
      </c>
      <c r="CS6" s="1">
        <v>85</v>
      </c>
      <c r="CT6" s="1">
        <v>133</v>
      </c>
      <c r="CU6" s="1">
        <v>86</v>
      </c>
      <c r="CV6" s="1">
        <v>47</v>
      </c>
      <c r="CW6" s="1">
        <v>87</v>
      </c>
      <c r="CX6" s="1">
        <v>78</v>
      </c>
    </row>
    <row r="7" spans="1:102">
      <c r="A7">
        <v>4</v>
      </c>
      <c r="B7">
        <v>6</v>
      </c>
      <c r="C7">
        <v>5</v>
      </c>
      <c r="D7">
        <v>61</v>
      </c>
      <c r="E7">
        <v>6</v>
      </c>
      <c r="F7">
        <v>61</v>
      </c>
      <c r="K7">
        <v>12</v>
      </c>
      <c r="L7">
        <v>61</v>
      </c>
      <c r="M7">
        <v>13</v>
      </c>
      <c r="N7">
        <v>61</v>
      </c>
      <c r="O7">
        <v>14</v>
      </c>
      <c r="P7">
        <v>65</v>
      </c>
      <c r="Q7">
        <v>15</v>
      </c>
      <c r="R7">
        <v>61</v>
      </c>
      <c r="S7">
        <v>16</v>
      </c>
      <c r="T7">
        <v>61</v>
      </c>
      <c r="U7">
        <v>17</v>
      </c>
      <c r="V7">
        <v>54</v>
      </c>
      <c r="AA7">
        <v>22</v>
      </c>
      <c r="AB7">
        <v>74</v>
      </c>
      <c r="AC7">
        <v>23</v>
      </c>
      <c r="AD7">
        <v>18</v>
      </c>
      <c r="AE7">
        <v>24</v>
      </c>
      <c r="AF7">
        <v>5</v>
      </c>
      <c r="AG7">
        <v>27</v>
      </c>
      <c r="AH7">
        <v>124</v>
      </c>
      <c r="AI7">
        <v>30</v>
      </c>
      <c r="AJ7">
        <v>16</v>
      </c>
      <c r="AM7">
        <v>33</v>
      </c>
      <c r="AN7">
        <v>75</v>
      </c>
      <c r="AQ7">
        <v>38</v>
      </c>
      <c r="AR7">
        <v>21</v>
      </c>
      <c r="AS7">
        <v>42</v>
      </c>
      <c r="AT7">
        <v>15</v>
      </c>
      <c r="AU7" s="1">
        <v>43</v>
      </c>
      <c r="AV7" s="1">
        <v>56</v>
      </c>
      <c r="AY7" s="1">
        <v>47</v>
      </c>
      <c r="AZ7" s="1">
        <v>30</v>
      </c>
      <c r="BC7" s="1">
        <v>49</v>
      </c>
      <c r="BD7" s="1">
        <v>188</v>
      </c>
      <c r="BE7" s="1">
        <v>52</v>
      </c>
      <c r="BF7" s="1">
        <v>436</v>
      </c>
      <c r="BG7" s="1">
        <v>54</v>
      </c>
      <c r="BH7" s="1">
        <v>44</v>
      </c>
      <c r="BI7" s="1">
        <v>55</v>
      </c>
      <c r="BJ7" s="1">
        <v>89</v>
      </c>
      <c r="BK7" s="1">
        <v>57</v>
      </c>
      <c r="BL7" s="1">
        <v>24</v>
      </c>
      <c r="BO7" s="1">
        <v>62</v>
      </c>
      <c r="BP7" s="1">
        <v>11</v>
      </c>
      <c r="BS7" s="1">
        <v>64</v>
      </c>
      <c r="BT7" s="1">
        <v>18</v>
      </c>
      <c r="BY7" s="1">
        <v>73</v>
      </c>
      <c r="BZ7" s="1">
        <v>127</v>
      </c>
      <c r="CC7" s="1">
        <v>75</v>
      </c>
      <c r="CD7" s="1">
        <v>19</v>
      </c>
      <c r="CE7" s="1">
        <v>78</v>
      </c>
      <c r="CF7" s="1">
        <v>34</v>
      </c>
      <c r="CI7" s="1">
        <v>80</v>
      </c>
      <c r="CJ7" s="1">
        <v>9</v>
      </c>
      <c r="CK7" s="1">
        <v>81</v>
      </c>
      <c r="CL7" s="1">
        <v>279</v>
      </c>
      <c r="CM7" s="1">
        <v>82</v>
      </c>
      <c r="CN7" s="1">
        <v>12</v>
      </c>
      <c r="CO7" s="1">
        <v>83</v>
      </c>
      <c r="CP7" s="1">
        <v>97</v>
      </c>
      <c r="CQ7" s="1">
        <v>84</v>
      </c>
      <c r="CR7" s="1">
        <v>21</v>
      </c>
      <c r="CS7" s="1">
        <v>85</v>
      </c>
      <c r="CT7" s="1">
        <v>478</v>
      </c>
      <c r="CU7" s="1">
        <v>86</v>
      </c>
      <c r="CV7" s="1">
        <v>124</v>
      </c>
      <c r="CW7" s="1">
        <v>87</v>
      </c>
      <c r="CX7" s="1">
        <v>80</v>
      </c>
    </row>
    <row r="8" spans="1:102">
      <c r="A8">
        <v>4</v>
      </c>
      <c r="B8">
        <v>42</v>
      </c>
      <c r="E8">
        <v>6</v>
      </c>
      <c r="F8">
        <v>61</v>
      </c>
      <c r="K8">
        <v>12</v>
      </c>
      <c r="L8">
        <v>61</v>
      </c>
      <c r="M8">
        <v>13</v>
      </c>
      <c r="N8">
        <v>61</v>
      </c>
      <c r="O8">
        <v>14</v>
      </c>
      <c r="P8">
        <v>42</v>
      </c>
      <c r="Q8">
        <v>15</v>
      </c>
      <c r="R8">
        <v>61</v>
      </c>
      <c r="S8">
        <v>16</v>
      </c>
      <c r="T8">
        <v>61</v>
      </c>
      <c r="U8">
        <v>17</v>
      </c>
      <c r="V8">
        <v>28</v>
      </c>
      <c r="AA8">
        <v>22</v>
      </c>
      <c r="AB8">
        <v>287</v>
      </c>
      <c r="AC8">
        <v>23</v>
      </c>
      <c r="AD8">
        <v>158</v>
      </c>
      <c r="AE8">
        <v>24</v>
      </c>
      <c r="AF8">
        <v>9</v>
      </c>
      <c r="AG8">
        <v>27</v>
      </c>
      <c r="AH8">
        <v>47</v>
      </c>
      <c r="AI8">
        <v>30</v>
      </c>
      <c r="AJ8">
        <v>16</v>
      </c>
      <c r="AM8">
        <v>33</v>
      </c>
      <c r="AN8">
        <v>18</v>
      </c>
      <c r="AQ8">
        <v>38</v>
      </c>
      <c r="AR8">
        <v>86</v>
      </c>
      <c r="AS8">
        <v>42</v>
      </c>
      <c r="AT8">
        <v>32</v>
      </c>
      <c r="AU8" s="1">
        <v>43</v>
      </c>
      <c r="AV8" s="1">
        <v>158</v>
      </c>
      <c r="AY8" s="1">
        <v>47</v>
      </c>
      <c r="AZ8" s="1">
        <v>92</v>
      </c>
      <c r="BC8" s="1">
        <v>49</v>
      </c>
      <c r="BD8" s="1">
        <v>675</v>
      </c>
      <c r="BE8" s="1">
        <v>52</v>
      </c>
      <c r="BF8" s="1">
        <v>77</v>
      </c>
      <c r="BG8" s="1">
        <v>54</v>
      </c>
      <c r="BH8" s="1">
        <v>50</v>
      </c>
      <c r="BI8" s="1">
        <v>55</v>
      </c>
      <c r="BJ8" s="1">
        <v>35</v>
      </c>
      <c r="BK8" s="1">
        <v>57</v>
      </c>
      <c r="BL8" s="1">
        <v>20</v>
      </c>
      <c r="BO8" s="1">
        <v>62</v>
      </c>
      <c r="BP8" s="1">
        <v>16</v>
      </c>
      <c r="BS8" s="1">
        <v>64</v>
      </c>
      <c r="BT8" s="1">
        <v>52</v>
      </c>
      <c r="BY8" s="1">
        <v>73</v>
      </c>
      <c r="BZ8" s="1">
        <v>67</v>
      </c>
      <c r="CC8" s="1">
        <v>75</v>
      </c>
      <c r="CD8" s="1">
        <v>22</v>
      </c>
      <c r="CE8" s="1">
        <v>78</v>
      </c>
      <c r="CF8" s="1">
        <v>17</v>
      </c>
      <c r="CI8" s="1">
        <v>80</v>
      </c>
      <c r="CJ8" s="1">
        <v>14</v>
      </c>
      <c r="CK8" s="1">
        <v>81</v>
      </c>
      <c r="CL8" s="1">
        <v>82</v>
      </c>
      <c r="CM8" s="1">
        <v>82</v>
      </c>
      <c r="CN8" s="1">
        <v>17</v>
      </c>
      <c r="CO8" s="1">
        <v>83</v>
      </c>
      <c r="CP8" s="1">
        <v>10</v>
      </c>
      <c r="CQ8" s="1">
        <v>84</v>
      </c>
      <c r="CR8" s="1">
        <v>12</v>
      </c>
      <c r="CU8" s="1">
        <v>86</v>
      </c>
      <c r="CV8" s="1">
        <v>62</v>
      </c>
      <c r="CW8" s="1">
        <v>87</v>
      </c>
      <c r="CX8" s="1">
        <v>101</v>
      </c>
    </row>
    <row r="9" spans="1:102">
      <c r="A9">
        <v>4</v>
      </c>
      <c r="B9">
        <v>16</v>
      </c>
      <c r="E9">
        <v>6</v>
      </c>
      <c r="F9">
        <v>61</v>
      </c>
      <c r="K9">
        <v>12</v>
      </c>
      <c r="L9">
        <v>61</v>
      </c>
      <c r="O9">
        <v>14</v>
      </c>
      <c r="P9">
        <v>31</v>
      </c>
      <c r="Q9">
        <v>15</v>
      </c>
      <c r="R9">
        <v>61</v>
      </c>
      <c r="S9">
        <v>16</v>
      </c>
      <c r="T9">
        <v>61</v>
      </c>
      <c r="U9">
        <v>17</v>
      </c>
      <c r="V9">
        <v>31</v>
      </c>
      <c r="AA9">
        <v>22</v>
      </c>
      <c r="AB9">
        <v>532</v>
      </c>
      <c r="AC9">
        <v>23</v>
      </c>
      <c r="AD9">
        <v>6</v>
      </c>
      <c r="AE9">
        <v>24</v>
      </c>
      <c r="AF9">
        <v>67</v>
      </c>
      <c r="AG9">
        <v>27</v>
      </c>
      <c r="AH9">
        <v>63</v>
      </c>
      <c r="AI9">
        <v>30</v>
      </c>
      <c r="AJ9">
        <v>4</v>
      </c>
      <c r="AM9">
        <v>33</v>
      </c>
      <c r="AN9">
        <v>28</v>
      </c>
      <c r="AQ9">
        <v>38</v>
      </c>
      <c r="AR9">
        <v>39</v>
      </c>
      <c r="AS9">
        <v>42</v>
      </c>
      <c r="AT9">
        <v>7</v>
      </c>
      <c r="AU9" s="1">
        <v>43</v>
      </c>
      <c r="AV9" s="1">
        <v>140</v>
      </c>
      <c r="AY9" s="1">
        <v>47</v>
      </c>
      <c r="AZ9" s="1">
        <v>91</v>
      </c>
      <c r="BE9" s="1">
        <v>52</v>
      </c>
      <c r="BF9" s="1">
        <v>4</v>
      </c>
      <c r="BG9" s="1">
        <v>54</v>
      </c>
      <c r="BH9" s="1">
        <v>54</v>
      </c>
      <c r="BI9" s="1">
        <v>55</v>
      </c>
      <c r="BJ9" s="1">
        <v>137</v>
      </c>
      <c r="BK9" s="1">
        <v>57</v>
      </c>
      <c r="BL9" s="1">
        <v>17</v>
      </c>
      <c r="BO9" s="1">
        <v>62</v>
      </c>
      <c r="BP9" s="1">
        <v>21</v>
      </c>
      <c r="BS9" s="1">
        <v>64</v>
      </c>
      <c r="BT9" s="1">
        <v>24</v>
      </c>
      <c r="BY9" s="1">
        <v>73</v>
      </c>
      <c r="BZ9" s="1">
        <v>27</v>
      </c>
      <c r="CC9" s="1">
        <v>75</v>
      </c>
      <c r="CD9" s="1">
        <v>90</v>
      </c>
      <c r="CE9" s="1">
        <v>78</v>
      </c>
      <c r="CF9" s="1">
        <v>16</v>
      </c>
      <c r="CI9" s="1">
        <v>80</v>
      </c>
      <c r="CJ9" s="1">
        <v>12</v>
      </c>
      <c r="CK9" s="1">
        <v>81</v>
      </c>
      <c r="CL9" s="1">
        <v>360</v>
      </c>
      <c r="CM9" s="1">
        <v>82</v>
      </c>
      <c r="CN9" s="1">
        <v>320</v>
      </c>
      <c r="CO9" s="1">
        <v>83</v>
      </c>
      <c r="CP9" s="1">
        <v>20</v>
      </c>
      <c r="CQ9" s="1">
        <v>84</v>
      </c>
      <c r="CR9" s="1">
        <v>13</v>
      </c>
      <c r="CW9" s="1">
        <v>87</v>
      </c>
      <c r="CX9" s="1">
        <v>68</v>
      </c>
    </row>
    <row r="10" spans="1:102">
      <c r="A10">
        <v>4</v>
      </c>
      <c r="B10">
        <v>24</v>
      </c>
      <c r="E10">
        <v>6</v>
      </c>
      <c r="F10">
        <v>61</v>
      </c>
      <c r="K10">
        <v>12</v>
      </c>
      <c r="L10">
        <v>61</v>
      </c>
      <c r="O10">
        <v>14</v>
      </c>
      <c r="P10">
        <v>92</v>
      </c>
      <c r="Q10">
        <v>15</v>
      </c>
      <c r="R10">
        <v>61</v>
      </c>
      <c r="S10">
        <v>16</v>
      </c>
      <c r="T10">
        <v>61</v>
      </c>
      <c r="U10">
        <v>17</v>
      </c>
      <c r="V10">
        <v>11</v>
      </c>
      <c r="AA10">
        <v>22</v>
      </c>
      <c r="AB10">
        <v>17</v>
      </c>
      <c r="AC10">
        <v>23</v>
      </c>
      <c r="AD10">
        <v>6</v>
      </c>
      <c r="AE10">
        <v>24</v>
      </c>
      <c r="AF10">
        <v>62</v>
      </c>
      <c r="AI10">
        <v>30</v>
      </c>
      <c r="AJ10">
        <v>10</v>
      </c>
      <c r="AM10">
        <v>33</v>
      </c>
      <c r="AN10">
        <v>78</v>
      </c>
      <c r="AQ10">
        <v>38</v>
      </c>
      <c r="AR10">
        <v>187</v>
      </c>
      <c r="AS10">
        <v>42</v>
      </c>
      <c r="AT10">
        <v>6</v>
      </c>
      <c r="AU10" s="1">
        <v>43</v>
      </c>
      <c r="AV10" s="1">
        <v>115</v>
      </c>
      <c r="AY10" s="1">
        <v>47</v>
      </c>
      <c r="AZ10" s="1">
        <v>172</v>
      </c>
      <c r="BE10" s="1">
        <v>52</v>
      </c>
      <c r="BF10" s="1">
        <v>674</v>
      </c>
      <c r="BG10" s="1">
        <v>54</v>
      </c>
      <c r="BH10" s="1">
        <v>68</v>
      </c>
      <c r="BI10" s="1">
        <v>55</v>
      </c>
      <c r="BJ10" s="1">
        <v>189</v>
      </c>
      <c r="BK10" s="1">
        <v>57</v>
      </c>
      <c r="BL10" s="1">
        <v>94</v>
      </c>
      <c r="BO10" s="1">
        <v>62</v>
      </c>
      <c r="BP10" s="1">
        <v>30</v>
      </c>
      <c r="BS10" s="1">
        <v>64</v>
      </c>
      <c r="BT10" s="1">
        <v>40</v>
      </c>
      <c r="BY10" s="1">
        <v>73</v>
      </c>
      <c r="BZ10" s="1">
        <v>18</v>
      </c>
      <c r="CC10" s="1">
        <v>75</v>
      </c>
      <c r="CD10" s="1">
        <v>24</v>
      </c>
      <c r="CE10" s="1">
        <v>78</v>
      </c>
      <c r="CF10" s="1">
        <v>120</v>
      </c>
      <c r="CI10" s="1">
        <v>80</v>
      </c>
      <c r="CJ10" s="1">
        <v>43</v>
      </c>
      <c r="CK10" s="1">
        <v>81</v>
      </c>
      <c r="CL10" s="1">
        <v>185</v>
      </c>
      <c r="CM10" s="1">
        <v>82</v>
      </c>
      <c r="CN10" s="1">
        <v>123</v>
      </c>
      <c r="CO10" s="1">
        <v>83</v>
      </c>
      <c r="CP10" s="1">
        <v>44</v>
      </c>
      <c r="CQ10" s="1">
        <v>84</v>
      </c>
      <c r="CR10" s="1">
        <v>17</v>
      </c>
      <c r="CW10" s="1">
        <v>87</v>
      </c>
      <c r="CX10" s="1">
        <v>190</v>
      </c>
    </row>
    <row r="11" spans="1:102">
      <c r="A11">
        <v>4</v>
      </c>
      <c r="B11">
        <v>66</v>
      </c>
      <c r="E11">
        <v>6</v>
      </c>
      <c r="F11">
        <v>61</v>
      </c>
      <c r="K11">
        <v>12</v>
      </c>
      <c r="L11">
        <v>61</v>
      </c>
      <c r="O11">
        <v>14</v>
      </c>
      <c r="P11">
        <v>70</v>
      </c>
      <c r="Q11">
        <v>15</v>
      </c>
      <c r="R11">
        <v>61</v>
      </c>
      <c r="S11">
        <v>16</v>
      </c>
      <c r="T11">
        <v>61</v>
      </c>
      <c r="U11">
        <v>17</v>
      </c>
      <c r="V11">
        <v>4</v>
      </c>
      <c r="AA11">
        <v>22</v>
      </c>
      <c r="AB11">
        <v>46</v>
      </c>
      <c r="AC11">
        <v>23</v>
      </c>
      <c r="AD11">
        <v>103</v>
      </c>
      <c r="AE11">
        <v>24</v>
      </c>
      <c r="AF11">
        <v>31</v>
      </c>
      <c r="AI11">
        <v>30</v>
      </c>
      <c r="AJ11">
        <v>5</v>
      </c>
      <c r="AM11">
        <v>33</v>
      </c>
      <c r="AN11">
        <v>40</v>
      </c>
      <c r="AQ11">
        <v>38</v>
      </c>
      <c r="AR11">
        <v>49</v>
      </c>
      <c r="AS11">
        <v>42</v>
      </c>
      <c r="AT11">
        <v>15</v>
      </c>
      <c r="BE11" s="1">
        <v>52</v>
      </c>
      <c r="BF11" s="1">
        <v>23</v>
      </c>
      <c r="BG11" s="1">
        <v>54</v>
      </c>
      <c r="BH11" s="1">
        <v>37</v>
      </c>
      <c r="BI11" s="1">
        <v>55</v>
      </c>
      <c r="BJ11" s="1">
        <v>144</v>
      </c>
      <c r="BK11" s="1">
        <v>57</v>
      </c>
      <c r="BL11" s="1">
        <v>23</v>
      </c>
      <c r="BO11" s="1">
        <v>62</v>
      </c>
      <c r="BP11" s="1">
        <v>26</v>
      </c>
      <c r="BS11" s="1">
        <v>64</v>
      </c>
      <c r="BT11" s="1">
        <v>29</v>
      </c>
      <c r="BY11" s="1">
        <v>73</v>
      </c>
      <c r="BZ11" s="1">
        <v>62</v>
      </c>
      <c r="CC11" s="1">
        <v>75</v>
      </c>
      <c r="CD11" s="1">
        <v>307</v>
      </c>
      <c r="CE11" s="1">
        <v>78</v>
      </c>
      <c r="CF11" s="1">
        <v>121</v>
      </c>
      <c r="CI11" s="1">
        <v>80</v>
      </c>
      <c r="CJ11" s="1">
        <v>28</v>
      </c>
      <c r="CM11" s="1">
        <v>82</v>
      </c>
      <c r="CN11" s="1">
        <v>134</v>
      </c>
      <c r="CO11" s="1">
        <v>83</v>
      </c>
      <c r="CP11" s="1">
        <v>134</v>
      </c>
      <c r="CQ11" s="1">
        <v>84</v>
      </c>
      <c r="CR11" s="1">
        <v>16</v>
      </c>
      <c r="CW11" s="1">
        <v>87</v>
      </c>
      <c r="CX11" s="1">
        <v>184</v>
      </c>
    </row>
    <row r="12" spans="1:102">
      <c r="A12">
        <v>4</v>
      </c>
      <c r="B12">
        <v>92</v>
      </c>
      <c r="E12">
        <v>6</v>
      </c>
      <c r="F12">
        <v>61</v>
      </c>
      <c r="K12">
        <v>12</v>
      </c>
      <c r="L12">
        <v>25</v>
      </c>
      <c r="O12">
        <v>14</v>
      </c>
      <c r="P12">
        <v>19</v>
      </c>
      <c r="Q12">
        <v>15</v>
      </c>
      <c r="R12">
        <v>61</v>
      </c>
      <c r="S12">
        <v>16</v>
      </c>
      <c r="T12">
        <v>61</v>
      </c>
      <c r="U12">
        <v>17</v>
      </c>
      <c r="V12">
        <v>11</v>
      </c>
      <c r="AA12">
        <v>22</v>
      </c>
      <c r="AB12">
        <v>130</v>
      </c>
      <c r="AC12">
        <v>23</v>
      </c>
      <c r="AD12">
        <v>4</v>
      </c>
      <c r="AE12">
        <v>24</v>
      </c>
      <c r="AF12">
        <v>9</v>
      </c>
      <c r="AI12">
        <v>30</v>
      </c>
      <c r="AJ12">
        <v>50</v>
      </c>
      <c r="AM12">
        <v>33</v>
      </c>
      <c r="AN12">
        <v>30</v>
      </c>
      <c r="AQ12">
        <v>38</v>
      </c>
      <c r="AR12">
        <v>150</v>
      </c>
      <c r="AS12">
        <v>42</v>
      </c>
      <c r="AT12">
        <v>21</v>
      </c>
      <c r="BG12" s="1">
        <v>54</v>
      </c>
      <c r="BH12" s="1">
        <v>59</v>
      </c>
      <c r="BI12" s="1">
        <v>55</v>
      </c>
      <c r="BJ12" s="1">
        <v>60</v>
      </c>
      <c r="BK12" s="1">
        <v>57</v>
      </c>
      <c r="BL12" s="1">
        <v>31</v>
      </c>
      <c r="BO12" s="1">
        <v>62</v>
      </c>
      <c r="BP12" s="1">
        <v>35</v>
      </c>
      <c r="BS12" s="1">
        <v>64</v>
      </c>
      <c r="BT12" s="1">
        <v>10</v>
      </c>
      <c r="CC12" s="1">
        <v>75</v>
      </c>
      <c r="CD12" s="1">
        <v>464</v>
      </c>
      <c r="CE12" s="1">
        <v>78</v>
      </c>
      <c r="CF12" s="1">
        <v>131</v>
      </c>
      <c r="CI12" s="1">
        <v>80</v>
      </c>
      <c r="CJ12" s="1">
        <v>6</v>
      </c>
      <c r="CM12" s="1">
        <v>82</v>
      </c>
      <c r="CN12" s="1">
        <v>30</v>
      </c>
      <c r="CO12" s="1">
        <v>83</v>
      </c>
      <c r="CP12" s="1">
        <v>303</v>
      </c>
      <c r="CQ12" s="1">
        <v>84</v>
      </c>
      <c r="CR12" s="1">
        <v>13</v>
      </c>
      <c r="CW12" s="1">
        <v>87</v>
      </c>
      <c r="CX12" s="1">
        <v>9</v>
      </c>
    </row>
    <row r="13" spans="1:102">
      <c r="E13">
        <v>6</v>
      </c>
      <c r="F13">
        <v>61</v>
      </c>
      <c r="K13">
        <v>12</v>
      </c>
      <c r="L13">
        <v>25</v>
      </c>
      <c r="O13">
        <v>14</v>
      </c>
      <c r="P13">
        <v>37</v>
      </c>
      <c r="Q13">
        <v>15</v>
      </c>
      <c r="R13">
        <v>61</v>
      </c>
      <c r="S13">
        <v>16</v>
      </c>
      <c r="T13">
        <v>61</v>
      </c>
      <c r="U13">
        <v>17</v>
      </c>
      <c r="V13">
        <v>16</v>
      </c>
      <c r="AA13">
        <v>22</v>
      </c>
      <c r="AB13">
        <v>218</v>
      </c>
      <c r="AC13">
        <v>23</v>
      </c>
      <c r="AD13">
        <v>277</v>
      </c>
      <c r="AI13">
        <v>30</v>
      </c>
      <c r="AJ13">
        <v>48</v>
      </c>
      <c r="AM13">
        <v>33</v>
      </c>
      <c r="AN13">
        <v>121</v>
      </c>
      <c r="AQ13">
        <v>38</v>
      </c>
      <c r="AR13">
        <v>200</v>
      </c>
      <c r="AS13">
        <v>42</v>
      </c>
      <c r="AT13">
        <v>12</v>
      </c>
      <c r="BG13" s="1">
        <v>54</v>
      </c>
      <c r="BH13" s="1">
        <v>7</v>
      </c>
      <c r="BK13" s="1">
        <v>57</v>
      </c>
      <c r="BL13" s="1">
        <v>14</v>
      </c>
      <c r="BO13" s="1">
        <v>62</v>
      </c>
      <c r="BP13" s="1">
        <v>82</v>
      </c>
      <c r="BS13" s="1">
        <v>64</v>
      </c>
      <c r="BT13" s="1">
        <v>9</v>
      </c>
      <c r="CC13" s="1">
        <v>75</v>
      </c>
      <c r="CD13" s="1">
        <v>68</v>
      </c>
      <c r="CE13" s="1">
        <v>78</v>
      </c>
      <c r="CF13" s="1">
        <v>56</v>
      </c>
      <c r="CI13" s="1">
        <v>80</v>
      </c>
      <c r="CJ13" s="1">
        <v>33</v>
      </c>
      <c r="CM13" s="1">
        <v>82</v>
      </c>
      <c r="CN13" s="1">
        <v>11</v>
      </c>
      <c r="CO13" s="1">
        <v>83</v>
      </c>
      <c r="CP13" s="1">
        <v>141</v>
      </c>
      <c r="CQ13" s="1">
        <v>84</v>
      </c>
      <c r="CR13" s="1">
        <v>16</v>
      </c>
    </row>
    <row r="14" spans="1:102">
      <c r="E14">
        <v>6</v>
      </c>
      <c r="F14">
        <v>61</v>
      </c>
      <c r="K14">
        <v>12</v>
      </c>
      <c r="L14">
        <v>7</v>
      </c>
      <c r="O14">
        <v>14</v>
      </c>
      <c r="P14">
        <v>37</v>
      </c>
      <c r="Q14">
        <v>15</v>
      </c>
      <c r="R14">
        <v>61</v>
      </c>
      <c r="S14">
        <v>16</v>
      </c>
      <c r="T14">
        <v>61</v>
      </c>
      <c r="U14">
        <v>17</v>
      </c>
      <c r="V14">
        <v>11</v>
      </c>
      <c r="AA14">
        <v>22</v>
      </c>
      <c r="AB14">
        <v>160</v>
      </c>
      <c r="AC14">
        <v>23</v>
      </c>
      <c r="AD14">
        <v>12</v>
      </c>
      <c r="AI14">
        <v>30</v>
      </c>
      <c r="AJ14">
        <v>56</v>
      </c>
      <c r="AM14">
        <v>33</v>
      </c>
      <c r="AN14">
        <v>22</v>
      </c>
      <c r="AQ14">
        <v>38</v>
      </c>
      <c r="AR14">
        <v>89</v>
      </c>
      <c r="AS14">
        <v>42</v>
      </c>
      <c r="AT14">
        <v>150</v>
      </c>
      <c r="BG14" s="1">
        <v>54</v>
      </c>
      <c r="BH14" s="1">
        <v>44</v>
      </c>
      <c r="BK14" s="1">
        <v>57</v>
      </c>
      <c r="BL14" s="1">
        <v>203</v>
      </c>
      <c r="BO14" s="1">
        <v>62</v>
      </c>
      <c r="BP14" s="1">
        <v>17</v>
      </c>
      <c r="BS14" s="1">
        <v>64</v>
      </c>
      <c r="BT14" s="1">
        <v>51</v>
      </c>
      <c r="CC14" s="1">
        <v>75</v>
      </c>
      <c r="CD14" s="1">
        <v>25</v>
      </c>
      <c r="CE14" s="1">
        <v>78</v>
      </c>
      <c r="CF14" s="1">
        <v>126</v>
      </c>
      <c r="CI14" s="1">
        <v>80</v>
      </c>
      <c r="CJ14" s="1">
        <v>10</v>
      </c>
      <c r="CM14" s="1">
        <v>82</v>
      </c>
      <c r="CN14" s="1">
        <v>44</v>
      </c>
      <c r="CO14" s="1">
        <v>83</v>
      </c>
      <c r="CP14" s="1">
        <v>282</v>
      </c>
      <c r="CQ14" s="1">
        <v>84</v>
      </c>
      <c r="CR14" s="1">
        <v>233</v>
      </c>
    </row>
    <row r="15" spans="1:102">
      <c r="E15">
        <v>6</v>
      </c>
      <c r="F15">
        <v>61</v>
      </c>
      <c r="K15">
        <v>12</v>
      </c>
      <c r="L15">
        <v>39</v>
      </c>
      <c r="O15">
        <v>14</v>
      </c>
      <c r="P15">
        <v>47</v>
      </c>
      <c r="Q15">
        <v>15</v>
      </c>
      <c r="R15">
        <v>61</v>
      </c>
      <c r="S15">
        <v>16</v>
      </c>
      <c r="T15">
        <v>61</v>
      </c>
      <c r="U15">
        <v>17</v>
      </c>
      <c r="V15">
        <v>10</v>
      </c>
      <c r="AA15">
        <v>22</v>
      </c>
      <c r="AB15">
        <v>22</v>
      </c>
      <c r="AI15">
        <v>30</v>
      </c>
      <c r="AJ15">
        <v>22</v>
      </c>
      <c r="AM15">
        <v>33</v>
      </c>
      <c r="AN15">
        <v>12</v>
      </c>
      <c r="AS15">
        <v>42</v>
      </c>
      <c r="AT15">
        <v>151</v>
      </c>
      <c r="BG15" s="1">
        <v>54</v>
      </c>
      <c r="BH15" s="1">
        <v>5</v>
      </c>
      <c r="BK15" s="1">
        <v>57</v>
      </c>
      <c r="BL15" s="1">
        <v>119</v>
      </c>
      <c r="BO15" s="1">
        <v>62</v>
      </c>
      <c r="BP15" s="1">
        <v>29</v>
      </c>
      <c r="BS15" s="1">
        <v>64</v>
      </c>
      <c r="BT15" s="1">
        <v>9</v>
      </c>
      <c r="CI15" s="1">
        <v>80</v>
      </c>
      <c r="CJ15" s="1">
        <v>39</v>
      </c>
      <c r="CM15" s="1">
        <v>82</v>
      </c>
      <c r="CN15" s="1">
        <v>10</v>
      </c>
      <c r="CO15" s="1">
        <v>83</v>
      </c>
      <c r="CP15" s="1">
        <v>144</v>
      </c>
      <c r="CQ15" s="1">
        <v>84</v>
      </c>
      <c r="CR15" s="1">
        <v>88</v>
      </c>
    </row>
    <row r="16" spans="1:102">
      <c r="E16">
        <v>6</v>
      </c>
      <c r="F16">
        <v>61</v>
      </c>
      <c r="K16">
        <v>12</v>
      </c>
      <c r="L16">
        <v>70</v>
      </c>
      <c r="O16">
        <v>14</v>
      </c>
      <c r="P16">
        <v>36</v>
      </c>
      <c r="Q16">
        <v>15</v>
      </c>
      <c r="R16">
        <v>61</v>
      </c>
      <c r="S16">
        <v>16</v>
      </c>
      <c r="T16">
        <v>61</v>
      </c>
      <c r="U16">
        <v>17</v>
      </c>
      <c r="V16">
        <v>44</v>
      </c>
      <c r="AA16">
        <v>22</v>
      </c>
      <c r="AB16">
        <v>32</v>
      </c>
      <c r="AI16">
        <v>30</v>
      </c>
      <c r="AJ16">
        <v>82</v>
      </c>
      <c r="AM16">
        <v>33</v>
      </c>
      <c r="AN16">
        <v>11</v>
      </c>
      <c r="AS16">
        <v>42</v>
      </c>
      <c r="AT16">
        <v>152</v>
      </c>
      <c r="BG16" s="1">
        <v>54</v>
      </c>
      <c r="BH16" s="1">
        <v>71</v>
      </c>
      <c r="BO16" s="1">
        <v>62</v>
      </c>
      <c r="BP16" s="1">
        <v>116</v>
      </c>
      <c r="BS16" s="1">
        <v>64</v>
      </c>
      <c r="BT16" s="1">
        <v>17</v>
      </c>
      <c r="CI16" s="1">
        <v>80</v>
      </c>
      <c r="CJ16" s="1">
        <v>15</v>
      </c>
      <c r="CM16" s="1">
        <v>82</v>
      </c>
      <c r="CN16" s="1">
        <v>21</v>
      </c>
      <c r="CO16" s="1">
        <v>83</v>
      </c>
      <c r="CP16" s="1">
        <v>43</v>
      </c>
      <c r="CQ16" s="1">
        <v>84</v>
      </c>
      <c r="CR16" s="1">
        <v>18</v>
      </c>
    </row>
    <row r="17" spans="5:96">
      <c r="E17">
        <v>6</v>
      </c>
      <c r="F17">
        <v>61</v>
      </c>
      <c r="O17">
        <v>14</v>
      </c>
      <c r="P17">
        <v>14</v>
      </c>
      <c r="Q17">
        <v>15</v>
      </c>
      <c r="R17">
        <v>61</v>
      </c>
      <c r="S17">
        <v>16</v>
      </c>
      <c r="T17">
        <v>61</v>
      </c>
      <c r="U17">
        <v>17</v>
      </c>
      <c r="V17">
        <v>64</v>
      </c>
      <c r="AA17">
        <v>22</v>
      </c>
      <c r="AB17">
        <v>13</v>
      </c>
      <c r="AM17">
        <v>33</v>
      </c>
      <c r="AN17">
        <v>16</v>
      </c>
      <c r="AS17">
        <v>42</v>
      </c>
      <c r="AT17">
        <v>106</v>
      </c>
      <c r="BG17" s="1">
        <v>54</v>
      </c>
      <c r="BH17" s="1">
        <v>46</v>
      </c>
      <c r="BO17" s="1">
        <v>62</v>
      </c>
      <c r="BP17" s="1">
        <v>24</v>
      </c>
      <c r="BS17" s="1">
        <v>64</v>
      </c>
      <c r="BT17" s="1">
        <v>10</v>
      </c>
      <c r="CI17" s="1">
        <v>80</v>
      </c>
      <c r="CJ17" s="1">
        <v>12</v>
      </c>
      <c r="CM17" s="1">
        <v>82</v>
      </c>
      <c r="CN17" s="1">
        <v>15</v>
      </c>
      <c r="CO17" s="1">
        <v>83</v>
      </c>
      <c r="CP17" s="1">
        <v>25</v>
      </c>
      <c r="CQ17" s="1">
        <v>84</v>
      </c>
      <c r="CR17" s="1">
        <v>340</v>
      </c>
    </row>
    <row r="18" spans="5:96">
      <c r="E18">
        <v>6</v>
      </c>
      <c r="F18">
        <v>61</v>
      </c>
      <c r="O18">
        <v>14</v>
      </c>
      <c r="P18">
        <v>51</v>
      </c>
      <c r="Q18">
        <v>15</v>
      </c>
      <c r="R18">
        <v>61</v>
      </c>
      <c r="S18">
        <v>16</v>
      </c>
      <c r="T18">
        <v>61</v>
      </c>
      <c r="U18">
        <v>17</v>
      </c>
      <c r="V18">
        <v>69</v>
      </c>
      <c r="AA18">
        <v>22</v>
      </c>
      <c r="AB18">
        <v>123</v>
      </c>
      <c r="AM18">
        <v>33</v>
      </c>
      <c r="AN18">
        <v>8</v>
      </c>
      <c r="AS18">
        <v>42</v>
      </c>
      <c r="AT18">
        <v>136</v>
      </c>
      <c r="BG18" s="1">
        <v>54</v>
      </c>
      <c r="BH18" s="1">
        <v>21</v>
      </c>
      <c r="BO18" s="1">
        <v>62</v>
      </c>
      <c r="BP18" s="1">
        <v>35</v>
      </c>
      <c r="BS18" s="1">
        <v>64</v>
      </c>
      <c r="BT18" s="1">
        <v>12</v>
      </c>
      <c r="CI18" s="1">
        <v>80</v>
      </c>
      <c r="CJ18" s="1">
        <v>32</v>
      </c>
      <c r="CM18" s="1">
        <v>82</v>
      </c>
      <c r="CN18" s="1">
        <v>14</v>
      </c>
      <c r="CO18" s="1">
        <v>83</v>
      </c>
      <c r="CP18" s="1">
        <v>235</v>
      </c>
      <c r="CQ18" s="1">
        <v>84</v>
      </c>
      <c r="CR18" s="1">
        <v>14</v>
      </c>
    </row>
    <row r="19" spans="5:96">
      <c r="E19">
        <v>6</v>
      </c>
      <c r="F19">
        <v>61</v>
      </c>
      <c r="O19">
        <v>14</v>
      </c>
      <c r="P19">
        <v>20</v>
      </c>
      <c r="Q19">
        <v>15</v>
      </c>
      <c r="R19">
        <v>61</v>
      </c>
      <c r="S19">
        <v>16</v>
      </c>
      <c r="T19">
        <v>61</v>
      </c>
      <c r="U19">
        <v>17</v>
      </c>
      <c r="V19">
        <v>104</v>
      </c>
      <c r="AA19">
        <v>22</v>
      </c>
      <c r="AB19">
        <v>114</v>
      </c>
      <c r="AM19">
        <v>33</v>
      </c>
      <c r="AN19">
        <v>10</v>
      </c>
      <c r="BG19" s="1">
        <v>54</v>
      </c>
      <c r="BH19" s="1">
        <v>11</v>
      </c>
      <c r="BO19" s="1">
        <v>62</v>
      </c>
      <c r="BP19" s="1">
        <v>18</v>
      </c>
      <c r="BS19" s="1">
        <v>64</v>
      </c>
      <c r="BT19" s="1">
        <v>12</v>
      </c>
      <c r="CI19" s="1">
        <v>80</v>
      </c>
      <c r="CJ19" s="1">
        <v>18</v>
      </c>
      <c r="CO19" s="1">
        <v>83</v>
      </c>
      <c r="CP19" s="1">
        <v>53</v>
      </c>
      <c r="CQ19" s="1">
        <v>84</v>
      </c>
      <c r="CR19" s="1">
        <v>26</v>
      </c>
    </row>
    <row r="20" spans="5:96">
      <c r="E20">
        <v>6</v>
      </c>
      <c r="F20">
        <v>61</v>
      </c>
      <c r="O20">
        <v>14</v>
      </c>
      <c r="P20">
        <v>18</v>
      </c>
      <c r="Q20">
        <v>15</v>
      </c>
      <c r="R20">
        <v>61</v>
      </c>
      <c r="S20">
        <v>16</v>
      </c>
      <c r="T20">
        <v>61</v>
      </c>
      <c r="AA20">
        <v>22</v>
      </c>
      <c r="AB20">
        <v>78</v>
      </c>
      <c r="AM20">
        <v>33</v>
      </c>
      <c r="AN20">
        <v>9</v>
      </c>
      <c r="BG20" s="1">
        <v>54</v>
      </c>
      <c r="BH20" s="1">
        <v>15</v>
      </c>
      <c r="BO20" s="1">
        <v>62</v>
      </c>
      <c r="BP20" s="1">
        <v>27</v>
      </c>
      <c r="BS20" s="1">
        <v>64</v>
      </c>
      <c r="BT20" s="1">
        <v>67</v>
      </c>
      <c r="CI20" s="1">
        <v>80</v>
      </c>
      <c r="CJ20" s="1">
        <v>12</v>
      </c>
      <c r="CO20" s="1">
        <v>83</v>
      </c>
      <c r="CP20" s="1">
        <v>48</v>
      </c>
      <c r="CQ20" s="1">
        <v>84</v>
      </c>
      <c r="CR20" s="1">
        <v>22</v>
      </c>
    </row>
    <row r="21" spans="5:96">
      <c r="E21">
        <v>6</v>
      </c>
      <c r="F21">
        <v>61</v>
      </c>
      <c r="O21">
        <v>14</v>
      </c>
      <c r="P21">
        <v>26</v>
      </c>
      <c r="Q21">
        <v>15</v>
      </c>
      <c r="R21">
        <v>61</v>
      </c>
      <c r="S21">
        <v>16</v>
      </c>
      <c r="T21">
        <v>61</v>
      </c>
      <c r="AM21">
        <v>33</v>
      </c>
      <c r="AN21">
        <v>11</v>
      </c>
      <c r="BG21" s="1">
        <v>54</v>
      </c>
      <c r="BH21" s="1">
        <v>40</v>
      </c>
      <c r="BO21" s="1">
        <v>62</v>
      </c>
      <c r="BP21" s="1">
        <v>21</v>
      </c>
      <c r="BS21" s="1">
        <v>64</v>
      </c>
      <c r="BT21" s="1">
        <v>16</v>
      </c>
      <c r="CI21" s="1">
        <v>80</v>
      </c>
      <c r="CJ21" s="1">
        <v>36</v>
      </c>
      <c r="CO21" s="1">
        <v>83</v>
      </c>
      <c r="CP21" s="1">
        <v>112</v>
      </c>
      <c r="CQ21" s="1">
        <v>84</v>
      </c>
      <c r="CR21" s="1">
        <v>11</v>
      </c>
    </row>
    <row r="22" spans="5:96">
      <c r="E22">
        <v>6</v>
      </c>
      <c r="F22">
        <v>61</v>
      </c>
      <c r="O22">
        <v>14</v>
      </c>
      <c r="P22">
        <v>115</v>
      </c>
      <c r="Q22">
        <v>15</v>
      </c>
      <c r="R22">
        <v>61</v>
      </c>
      <c r="S22">
        <v>16</v>
      </c>
      <c r="T22">
        <v>61</v>
      </c>
      <c r="AM22">
        <v>33</v>
      </c>
      <c r="AN22">
        <v>15</v>
      </c>
      <c r="BG22" s="1">
        <v>54</v>
      </c>
      <c r="BH22" s="1">
        <v>19</v>
      </c>
      <c r="BO22" s="1">
        <v>62</v>
      </c>
      <c r="BP22" s="1">
        <v>43</v>
      </c>
      <c r="BS22" s="1">
        <v>64</v>
      </c>
      <c r="BT22" s="1">
        <v>20</v>
      </c>
      <c r="CI22" s="1">
        <v>80</v>
      </c>
      <c r="CJ22" s="1">
        <v>163</v>
      </c>
      <c r="CO22" s="1">
        <v>83</v>
      </c>
      <c r="CP22" s="1">
        <v>28</v>
      </c>
      <c r="CQ22" s="1">
        <v>84</v>
      </c>
      <c r="CR22" s="1">
        <v>28</v>
      </c>
    </row>
    <row r="23" spans="5:96">
      <c r="E23">
        <v>6</v>
      </c>
      <c r="F23">
        <v>61</v>
      </c>
      <c r="O23">
        <v>14</v>
      </c>
      <c r="P23">
        <v>266</v>
      </c>
      <c r="Q23">
        <v>15</v>
      </c>
      <c r="R23">
        <v>61</v>
      </c>
      <c r="S23">
        <v>16</v>
      </c>
      <c r="T23">
        <v>61</v>
      </c>
      <c r="AM23">
        <v>33</v>
      </c>
      <c r="AN23">
        <v>14</v>
      </c>
      <c r="BG23" s="1">
        <v>54</v>
      </c>
      <c r="BH23" s="1">
        <v>51</v>
      </c>
      <c r="BO23" s="1">
        <v>62</v>
      </c>
      <c r="BP23" s="1">
        <v>28</v>
      </c>
      <c r="BS23" s="1">
        <v>64</v>
      </c>
      <c r="BT23" s="1">
        <v>28</v>
      </c>
      <c r="CI23" s="1">
        <v>80</v>
      </c>
      <c r="CJ23" s="1">
        <v>81</v>
      </c>
      <c r="CO23" s="1">
        <v>83</v>
      </c>
      <c r="CP23" s="1">
        <v>131</v>
      </c>
      <c r="CQ23" s="1">
        <v>84</v>
      </c>
      <c r="CR23" s="1">
        <v>31</v>
      </c>
    </row>
    <row r="24" spans="5:96">
      <c r="E24">
        <v>6</v>
      </c>
      <c r="F24">
        <v>61</v>
      </c>
      <c r="O24">
        <v>14</v>
      </c>
      <c r="P24">
        <v>154</v>
      </c>
      <c r="Q24">
        <v>15</v>
      </c>
      <c r="R24">
        <v>61</v>
      </c>
      <c r="S24">
        <v>16</v>
      </c>
      <c r="T24">
        <v>61</v>
      </c>
      <c r="AM24">
        <v>33</v>
      </c>
      <c r="AN24">
        <v>14</v>
      </c>
      <c r="BG24" s="1">
        <v>54</v>
      </c>
      <c r="BH24" s="1">
        <v>544</v>
      </c>
      <c r="BO24" s="1">
        <v>62</v>
      </c>
      <c r="BP24" s="1">
        <v>101</v>
      </c>
      <c r="BS24" s="1">
        <v>64</v>
      </c>
      <c r="BT24" s="1">
        <v>19</v>
      </c>
      <c r="CI24" s="1">
        <v>80</v>
      </c>
      <c r="CJ24" s="1">
        <v>13</v>
      </c>
      <c r="CQ24" s="1">
        <v>84</v>
      </c>
      <c r="CR24" s="1">
        <v>598</v>
      </c>
    </row>
    <row r="25" spans="5:96">
      <c r="E25">
        <v>6</v>
      </c>
      <c r="F25">
        <v>61</v>
      </c>
      <c r="O25">
        <v>14</v>
      </c>
      <c r="P25">
        <v>7</v>
      </c>
      <c r="Q25">
        <v>15</v>
      </c>
      <c r="R25">
        <v>61</v>
      </c>
      <c r="S25">
        <v>16</v>
      </c>
      <c r="T25">
        <v>61</v>
      </c>
      <c r="AM25">
        <v>33</v>
      </c>
      <c r="AN25">
        <v>14</v>
      </c>
      <c r="BG25" s="1">
        <v>54</v>
      </c>
      <c r="BH25" s="1">
        <v>6</v>
      </c>
      <c r="BO25" s="1">
        <v>62</v>
      </c>
      <c r="BP25" s="1">
        <v>44</v>
      </c>
      <c r="BS25" s="1">
        <v>64</v>
      </c>
      <c r="BT25" s="1">
        <v>9</v>
      </c>
      <c r="CQ25" s="1">
        <v>84</v>
      </c>
      <c r="CR25" s="1">
        <v>71</v>
      </c>
    </row>
    <row r="26" spans="5:96">
      <c r="E26">
        <v>6</v>
      </c>
      <c r="F26">
        <v>61</v>
      </c>
      <c r="O26">
        <v>14</v>
      </c>
      <c r="P26">
        <v>11</v>
      </c>
      <c r="Q26">
        <v>15</v>
      </c>
      <c r="R26">
        <v>61</v>
      </c>
      <c r="S26">
        <v>16</v>
      </c>
      <c r="T26">
        <v>61</v>
      </c>
      <c r="AM26">
        <v>33</v>
      </c>
      <c r="AN26">
        <v>282</v>
      </c>
      <c r="BG26" s="1">
        <v>54</v>
      </c>
      <c r="BH26" s="1">
        <v>30</v>
      </c>
      <c r="BO26" s="1">
        <v>62</v>
      </c>
      <c r="BP26" s="1">
        <v>35</v>
      </c>
      <c r="BS26" s="1">
        <v>64</v>
      </c>
      <c r="BT26" s="1">
        <v>97</v>
      </c>
      <c r="CQ26" s="1">
        <v>84</v>
      </c>
      <c r="CR26" s="1">
        <v>10</v>
      </c>
    </row>
    <row r="27" spans="5:96">
      <c r="O27">
        <v>14</v>
      </c>
      <c r="P27">
        <v>38</v>
      </c>
      <c r="Q27">
        <v>15</v>
      </c>
      <c r="R27">
        <v>61</v>
      </c>
      <c r="S27">
        <v>16</v>
      </c>
      <c r="T27">
        <v>61</v>
      </c>
      <c r="AM27">
        <v>33</v>
      </c>
      <c r="AN27">
        <v>17</v>
      </c>
      <c r="BG27" s="1">
        <v>54</v>
      </c>
      <c r="BH27" s="1">
        <v>6</v>
      </c>
      <c r="BO27" s="1">
        <v>62</v>
      </c>
      <c r="BP27" s="1">
        <v>36</v>
      </c>
      <c r="BS27" s="1">
        <v>64</v>
      </c>
      <c r="BT27" s="1">
        <v>306</v>
      </c>
      <c r="CQ27" s="1">
        <v>84</v>
      </c>
      <c r="CR27" s="1">
        <v>12</v>
      </c>
    </row>
    <row r="28" spans="5:96">
      <c r="O28">
        <v>14</v>
      </c>
      <c r="P28">
        <v>17</v>
      </c>
      <c r="S28">
        <v>16</v>
      </c>
      <c r="T28">
        <v>61</v>
      </c>
      <c r="AM28">
        <v>33</v>
      </c>
      <c r="AN28">
        <v>28</v>
      </c>
      <c r="BG28" s="1">
        <v>54</v>
      </c>
      <c r="BH28" s="1">
        <v>7</v>
      </c>
      <c r="BO28" s="1">
        <v>62</v>
      </c>
      <c r="BP28" s="1">
        <v>33</v>
      </c>
      <c r="CQ28" s="1">
        <v>84</v>
      </c>
      <c r="CR28" s="1">
        <v>14</v>
      </c>
    </row>
    <row r="29" spans="5:96">
      <c r="O29">
        <v>14</v>
      </c>
      <c r="P29">
        <v>353</v>
      </c>
      <c r="S29">
        <v>16</v>
      </c>
      <c r="T29">
        <v>61</v>
      </c>
      <c r="AM29">
        <v>33</v>
      </c>
      <c r="AN29">
        <v>14</v>
      </c>
      <c r="BG29" s="1">
        <v>54</v>
      </c>
      <c r="BH29" s="1">
        <v>36</v>
      </c>
      <c r="BO29" s="1">
        <v>62</v>
      </c>
      <c r="BP29" s="1">
        <v>61</v>
      </c>
    </row>
    <row r="30" spans="5:96">
      <c r="O30">
        <v>14</v>
      </c>
      <c r="P30">
        <v>1809</v>
      </c>
      <c r="S30">
        <v>16</v>
      </c>
      <c r="T30">
        <v>61</v>
      </c>
      <c r="AM30">
        <v>33</v>
      </c>
      <c r="AN30">
        <v>45</v>
      </c>
      <c r="BG30" s="1">
        <v>54</v>
      </c>
      <c r="BH30" s="1">
        <v>73</v>
      </c>
      <c r="BO30" s="1">
        <v>62</v>
      </c>
      <c r="BP30" s="1">
        <v>33</v>
      </c>
    </row>
    <row r="31" spans="5:96">
      <c r="O31">
        <v>14</v>
      </c>
      <c r="P31">
        <v>147</v>
      </c>
      <c r="S31">
        <v>16</v>
      </c>
      <c r="T31">
        <v>61</v>
      </c>
      <c r="AM31">
        <v>33</v>
      </c>
      <c r="AN31">
        <v>79</v>
      </c>
      <c r="BG31" s="1">
        <v>54</v>
      </c>
      <c r="BH31" s="1">
        <v>36</v>
      </c>
      <c r="BO31" s="1">
        <v>62</v>
      </c>
      <c r="BP31" s="1">
        <v>38</v>
      </c>
    </row>
    <row r="32" spans="5:96">
      <c r="O32">
        <v>14</v>
      </c>
      <c r="P32">
        <v>245</v>
      </c>
      <c r="S32">
        <v>16</v>
      </c>
      <c r="T32">
        <v>61</v>
      </c>
      <c r="AM32">
        <v>33</v>
      </c>
      <c r="AN32">
        <v>207</v>
      </c>
      <c r="BG32" s="1">
        <v>54</v>
      </c>
      <c r="BH32" s="1">
        <v>36</v>
      </c>
      <c r="BO32" s="1">
        <v>62</v>
      </c>
      <c r="BP32" s="1">
        <v>40</v>
      </c>
    </row>
    <row r="33" spans="1:68">
      <c r="O33">
        <v>14</v>
      </c>
      <c r="P33">
        <v>48</v>
      </c>
      <c r="S33">
        <v>16</v>
      </c>
      <c r="T33">
        <v>61</v>
      </c>
      <c r="AM33">
        <v>33</v>
      </c>
      <c r="AN33">
        <v>19</v>
      </c>
      <c r="BG33" s="1">
        <v>54</v>
      </c>
      <c r="BH33" s="1">
        <v>86</v>
      </c>
      <c r="BO33" s="1">
        <v>62</v>
      </c>
      <c r="BP33" s="1">
        <v>124</v>
      </c>
    </row>
    <row r="34" spans="1:68">
      <c r="O34">
        <v>14</v>
      </c>
      <c r="P34">
        <v>48</v>
      </c>
      <c r="S34">
        <v>16</v>
      </c>
      <c r="T34">
        <v>61</v>
      </c>
      <c r="AM34">
        <v>33</v>
      </c>
      <c r="AN34">
        <v>9</v>
      </c>
      <c r="BG34" s="1">
        <v>54</v>
      </c>
      <c r="BH34" s="1">
        <v>35</v>
      </c>
      <c r="BO34" s="1">
        <v>62</v>
      </c>
      <c r="BP34" s="1">
        <v>14</v>
      </c>
    </row>
    <row r="35" spans="1:68">
      <c r="S35">
        <v>16</v>
      </c>
      <c r="T35">
        <v>61</v>
      </c>
      <c r="AM35">
        <v>33</v>
      </c>
      <c r="AN35">
        <v>35</v>
      </c>
      <c r="BG35" s="1">
        <v>54</v>
      </c>
      <c r="BH35" s="1">
        <v>136</v>
      </c>
      <c r="BO35" s="1">
        <v>62</v>
      </c>
      <c r="BP35" s="1">
        <v>25</v>
      </c>
    </row>
    <row r="36" spans="1:68">
      <c r="S36">
        <v>16</v>
      </c>
      <c r="T36">
        <v>21</v>
      </c>
      <c r="AM36">
        <v>33</v>
      </c>
      <c r="AN36">
        <v>23</v>
      </c>
      <c r="BG36" s="1">
        <v>54</v>
      </c>
      <c r="BH36" s="1">
        <v>24</v>
      </c>
      <c r="BO36" s="1">
        <v>62</v>
      </c>
      <c r="BP36" s="1">
        <v>15</v>
      </c>
    </row>
    <row r="37" spans="1:68">
      <c r="S37">
        <v>16</v>
      </c>
      <c r="T37">
        <v>23</v>
      </c>
      <c r="AM37">
        <v>33</v>
      </c>
      <c r="AN37">
        <v>32</v>
      </c>
      <c r="BG37" s="1">
        <v>54</v>
      </c>
      <c r="BH37" s="1">
        <v>77</v>
      </c>
      <c r="BO37" s="1">
        <v>62</v>
      </c>
      <c r="BP37" s="1">
        <v>18</v>
      </c>
    </row>
    <row r="38" spans="1:68">
      <c r="AM38">
        <v>33</v>
      </c>
      <c r="AN38">
        <v>32</v>
      </c>
      <c r="BG38" s="1">
        <v>54</v>
      </c>
      <c r="BH38" s="1">
        <v>98</v>
      </c>
      <c r="BO38" s="1">
        <v>62</v>
      </c>
      <c r="BP38" s="1">
        <v>25</v>
      </c>
    </row>
    <row r="39" spans="1:68">
      <c r="A39" t="s">
        <v>278</v>
      </c>
      <c r="AM39">
        <v>33</v>
      </c>
      <c r="AN39">
        <v>49</v>
      </c>
      <c r="BG39" s="1">
        <v>54</v>
      </c>
      <c r="BH39" s="1">
        <v>47</v>
      </c>
      <c r="BO39" s="1">
        <v>62</v>
      </c>
      <c r="BP39" s="1">
        <v>12</v>
      </c>
    </row>
    <row r="40" spans="1:68">
      <c r="A40">
        <f>AVERAGE(B1,D1,F1,H1,J1,L1+N1,P1,R1,T1+V1,X1,Z1,AB1,AD1,AF1,AH1,AJ1,AL1,AN1,AP1,AR1,AT1,AV1,AX1,AZ1,BB1,BD1+BF1,BH1,BJ1,BL1,BN1,BP1,BR1,BT1,BV1,BX1,BZ1,CB1,CD1,CF1,CH1,CJ1,CL1,CN1,CP1,CR1,CT1,CV1,CX1)</f>
        <v>70.895833333333329</v>
      </c>
      <c r="B40">
        <f>AVERAGE(A40:A57)</f>
        <v>79.384181369378425</v>
      </c>
      <c r="AM40">
        <v>33</v>
      </c>
      <c r="AN40">
        <v>26</v>
      </c>
      <c r="BG40" s="1">
        <v>54</v>
      </c>
      <c r="BH40" s="1">
        <v>40</v>
      </c>
      <c r="BO40" s="1">
        <v>62</v>
      </c>
      <c r="BP40" s="1">
        <v>16</v>
      </c>
    </row>
    <row r="41" spans="1:68">
      <c r="A41">
        <f t="shared" ref="A41:A70" si="0">AVERAGE(B2,D2,F2,H2,J2,L2+N2,P2,R2,T2+V2,X2,Z2,AB2,AD2,AF2,AH2,AJ2,AL2,AN2,AP2,AR2,AT2,AV2,AX2,AZ2,BB2,BD2+BF2,BH2,BJ2,BL2,BN2,BP2,BR2,BT2,BV2,BX2,BZ2,CB2,CD2,CF2,CH2,CJ2,CL2,CN2,CP2,CR2,CT2,CV2,CX2)</f>
        <v>89.739130434782609</v>
      </c>
      <c r="AM41">
        <v>33</v>
      </c>
      <c r="AN41">
        <v>20</v>
      </c>
      <c r="BG41" s="1">
        <v>54</v>
      </c>
      <c r="BH41" s="1">
        <v>92</v>
      </c>
      <c r="BO41" s="1">
        <v>62</v>
      </c>
      <c r="BP41" s="1">
        <v>43</v>
      </c>
    </row>
    <row r="42" spans="1:68">
      <c r="A42">
        <f t="shared" si="0"/>
        <v>185.78260869565219</v>
      </c>
      <c r="AM42">
        <v>33</v>
      </c>
      <c r="AN42">
        <v>9</v>
      </c>
      <c r="BG42" s="1">
        <v>54</v>
      </c>
      <c r="BH42" s="1">
        <v>155</v>
      </c>
      <c r="BO42" s="1">
        <v>62</v>
      </c>
      <c r="BP42" s="1">
        <v>11</v>
      </c>
    </row>
    <row r="43" spans="1:68">
      <c r="A43">
        <f t="shared" si="0"/>
        <v>71.913043478260875</v>
      </c>
      <c r="AM43">
        <v>33</v>
      </c>
      <c r="AN43">
        <v>14</v>
      </c>
      <c r="BG43" s="1">
        <v>54</v>
      </c>
      <c r="BH43" s="1">
        <v>4</v>
      </c>
    </row>
    <row r="44" spans="1:68">
      <c r="A44">
        <f t="shared" si="0"/>
        <v>70.79069767441861</v>
      </c>
      <c r="AM44">
        <v>33</v>
      </c>
      <c r="AN44">
        <v>157</v>
      </c>
      <c r="BG44" s="1">
        <v>54</v>
      </c>
      <c r="BH44" s="1">
        <v>46</v>
      </c>
    </row>
    <row r="45" spans="1:68">
      <c r="A45">
        <f t="shared" si="0"/>
        <v>78.769230769230774</v>
      </c>
      <c r="AM45">
        <v>33</v>
      </c>
      <c r="AN45">
        <v>25</v>
      </c>
      <c r="BG45" s="1">
        <v>54</v>
      </c>
      <c r="BH45" s="1">
        <v>20</v>
      </c>
    </row>
    <row r="46" spans="1:68">
      <c r="A46">
        <f t="shared" si="0"/>
        <v>88.67647058823529</v>
      </c>
      <c r="AM46">
        <v>33</v>
      </c>
      <c r="AN46">
        <v>87</v>
      </c>
      <c r="BG46" s="1">
        <v>54</v>
      </c>
      <c r="BH46" s="1">
        <v>52</v>
      </c>
    </row>
    <row r="47" spans="1:68">
      <c r="A47">
        <f t="shared" si="0"/>
        <v>82.78125</v>
      </c>
      <c r="AM47">
        <v>33</v>
      </c>
      <c r="AN47">
        <v>20</v>
      </c>
      <c r="BG47" s="1">
        <v>54</v>
      </c>
      <c r="BH47" s="1">
        <v>94</v>
      </c>
    </row>
    <row r="48" spans="1:68">
      <c r="A48">
        <f t="shared" si="0"/>
        <v>80.064516129032256</v>
      </c>
      <c r="AM48">
        <v>33</v>
      </c>
      <c r="AN48">
        <v>12</v>
      </c>
      <c r="BG48" s="1">
        <v>54</v>
      </c>
      <c r="BH48" s="1">
        <v>4</v>
      </c>
    </row>
    <row r="49" spans="1:60">
      <c r="A49">
        <f t="shared" si="0"/>
        <v>96.1</v>
      </c>
      <c r="AM49">
        <v>33</v>
      </c>
      <c r="AN49">
        <v>14</v>
      </c>
      <c r="BG49" s="1">
        <v>54</v>
      </c>
      <c r="BH49" s="1">
        <v>24</v>
      </c>
    </row>
    <row r="50" spans="1:60">
      <c r="A50">
        <f t="shared" si="0"/>
        <v>71.888888888888886</v>
      </c>
      <c r="AM50">
        <v>33</v>
      </c>
      <c r="AN50">
        <v>35</v>
      </c>
      <c r="BG50" s="1">
        <v>54</v>
      </c>
      <c r="BH50" s="1">
        <v>5</v>
      </c>
    </row>
    <row r="51" spans="1:60">
      <c r="A51">
        <f t="shared" si="0"/>
        <v>72.115384615384613</v>
      </c>
      <c r="AM51">
        <v>33</v>
      </c>
      <c r="AN51">
        <v>28</v>
      </c>
      <c r="BG51" s="1">
        <v>54</v>
      </c>
      <c r="BH51" s="1">
        <v>11</v>
      </c>
    </row>
    <row r="52" spans="1:60">
      <c r="A52">
        <f t="shared" si="0"/>
        <v>71.545454545454547</v>
      </c>
      <c r="AM52">
        <v>33</v>
      </c>
      <c r="AN52">
        <v>35</v>
      </c>
      <c r="BG52" s="1">
        <v>54</v>
      </c>
      <c r="BH52" s="1">
        <v>4</v>
      </c>
    </row>
    <row r="53" spans="1:60">
      <c r="A53">
        <f t="shared" si="0"/>
        <v>80.090909090909093</v>
      </c>
      <c r="AM53">
        <v>33</v>
      </c>
      <c r="AN53">
        <v>124</v>
      </c>
      <c r="BG53" s="1">
        <v>54</v>
      </c>
      <c r="BH53" s="1">
        <v>55</v>
      </c>
    </row>
    <row r="54" spans="1:60">
      <c r="A54">
        <f t="shared" si="0"/>
        <v>51.611111111111114</v>
      </c>
      <c r="AM54">
        <v>33</v>
      </c>
      <c r="AN54">
        <v>23</v>
      </c>
      <c r="BG54" s="1">
        <v>54</v>
      </c>
      <c r="BH54" s="1">
        <v>3</v>
      </c>
    </row>
    <row r="55" spans="1:60">
      <c r="A55">
        <f t="shared" si="0"/>
        <v>53.588235294117645</v>
      </c>
      <c r="AM55">
        <v>33</v>
      </c>
      <c r="AN55">
        <v>70</v>
      </c>
      <c r="BG55" s="1">
        <v>54</v>
      </c>
      <c r="BH55" s="1">
        <v>183</v>
      </c>
    </row>
    <row r="56" spans="1:60">
      <c r="A56">
        <f t="shared" si="0"/>
        <v>54.25</v>
      </c>
      <c r="AM56">
        <v>33</v>
      </c>
      <c r="AN56">
        <v>128</v>
      </c>
    </row>
    <row r="57" spans="1:60">
      <c r="A57">
        <f t="shared" si="0"/>
        <v>58.3125</v>
      </c>
      <c r="AM57">
        <v>33</v>
      </c>
      <c r="AN57">
        <v>30</v>
      </c>
    </row>
    <row r="58" spans="1:60">
      <c r="A58">
        <f t="shared" si="0"/>
        <v>40.642857142857146</v>
      </c>
      <c r="AM58">
        <v>33</v>
      </c>
      <c r="AN58">
        <v>88</v>
      </c>
    </row>
    <row r="59" spans="1:60">
      <c r="A59">
        <f t="shared" si="0"/>
        <v>34.214285714285715</v>
      </c>
      <c r="AM59">
        <v>33</v>
      </c>
      <c r="AN59">
        <v>39</v>
      </c>
    </row>
    <row r="60" spans="1:60">
      <c r="A60">
        <f t="shared" si="0"/>
        <v>35.07692307692308</v>
      </c>
      <c r="AM60">
        <v>33</v>
      </c>
      <c r="AN60">
        <v>38</v>
      </c>
    </row>
    <row r="61" spans="1:60">
      <c r="A61">
        <f t="shared" si="0"/>
        <v>47.230769230769234</v>
      </c>
      <c r="AM61">
        <v>33</v>
      </c>
      <c r="AN61">
        <v>32</v>
      </c>
    </row>
    <row r="62" spans="1:60">
      <c r="A62">
        <f t="shared" si="0"/>
        <v>62.53846153846154</v>
      </c>
      <c r="AM62">
        <v>33</v>
      </c>
      <c r="AN62">
        <v>140</v>
      </c>
    </row>
    <row r="63" spans="1:60">
      <c r="A63">
        <f t="shared" si="0"/>
        <v>135.5</v>
      </c>
      <c r="AM63">
        <v>33</v>
      </c>
      <c r="AN63">
        <v>55</v>
      </c>
    </row>
    <row r="64" spans="1:60">
      <c r="A64">
        <f t="shared" si="0"/>
        <v>30.363636363636363</v>
      </c>
      <c r="AM64">
        <v>33</v>
      </c>
      <c r="AN64">
        <v>18</v>
      </c>
    </row>
    <row r="65" spans="1:1">
      <c r="A65">
        <f t="shared" si="0"/>
        <v>58.909090909090907</v>
      </c>
    </row>
    <row r="66" spans="1:1">
      <c r="A66">
        <f t="shared" si="0"/>
        <v>53.7</v>
      </c>
    </row>
    <row r="67" spans="1:1">
      <c r="A67">
        <f t="shared" si="0"/>
        <v>20</v>
      </c>
    </row>
    <row r="68" spans="1:1">
      <c r="A68">
        <f t="shared" si="0"/>
        <v>75</v>
      </c>
    </row>
    <row r="69" spans="1:1">
      <c r="A69">
        <f t="shared" si="0"/>
        <v>288.71428571428572</v>
      </c>
    </row>
    <row r="70" spans="1:1">
      <c r="A70">
        <f t="shared" si="0"/>
        <v>51.571428571428569</v>
      </c>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5"/>
  <sheetViews>
    <sheetView topLeftCell="B31" workbookViewId="0">
      <selection activeCell="B55" sqref="B55"/>
    </sheetView>
  </sheetViews>
  <sheetFormatPr baseColWidth="10" defaultColWidth="11" defaultRowHeight="15" x14ac:dyDescent="0"/>
  <sheetData>
    <row r="1" spans="1:24">
      <c r="A1">
        <v>4</v>
      </c>
      <c r="B1">
        <v>1</v>
      </c>
      <c r="C1">
        <v>0</v>
      </c>
      <c r="D1">
        <v>0</v>
      </c>
      <c r="E1">
        <v>0</v>
      </c>
      <c r="F1">
        <v>1</v>
      </c>
      <c r="G1">
        <v>0</v>
      </c>
      <c r="H1">
        <v>0</v>
      </c>
      <c r="I1">
        <v>3</v>
      </c>
      <c r="J1">
        <v>2</v>
      </c>
      <c r="K1">
        <v>0</v>
      </c>
      <c r="L1">
        <v>0</v>
      </c>
      <c r="M1">
        <v>0</v>
      </c>
      <c r="N1">
        <v>1</v>
      </c>
      <c r="O1">
        <v>0</v>
      </c>
      <c r="P1">
        <v>0</v>
      </c>
      <c r="Q1">
        <v>1</v>
      </c>
      <c r="R1">
        <v>1</v>
      </c>
      <c r="S1">
        <v>0</v>
      </c>
      <c r="T1">
        <v>0</v>
      </c>
      <c r="U1">
        <v>1</v>
      </c>
      <c r="V1">
        <v>0</v>
      </c>
      <c r="W1">
        <v>1</v>
      </c>
      <c r="X1" t="s">
        <v>30</v>
      </c>
    </row>
    <row r="2" spans="1:24">
      <c r="A2">
        <v>5</v>
      </c>
      <c r="B2">
        <v>0</v>
      </c>
      <c r="C2">
        <v>0</v>
      </c>
      <c r="D2">
        <v>0</v>
      </c>
      <c r="E2">
        <v>0</v>
      </c>
      <c r="F2">
        <v>0</v>
      </c>
      <c r="G2">
        <v>0</v>
      </c>
      <c r="H2">
        <v>0</v>
      </c>
      <c r="I2">
        <v>0</v>
      </c>
      <c r="J2">
        <v>1</v>
      </c>
      <c r="K2" t="s">
        <v>29</v>
      </c>
      <c r="L2" t="s">
        <v>29</v>
      </c>
      <c r="M2" t="s">
        <v>29</v>
      </c>
      <c r="N2" t="s">
        <v>29</v>
      </c>
      <c r="O2" t="s">
        <v>29</v>
      </c>
      <c r="P2" t="s">
        <v>29</v>
      </c>
      <c r="Q2" t="s">
        <v>29</v>
      </c>
      <c r="R2" t="s">
        <v>29</v>
      </c>
      <c r="S2" t="s">
        <v>29</v>
      </c>
      <c r="T2" t="s">
        <v>29</v>
      </c>
      <c r="U2" t="s">
        <v>29</v>
      </c>
      <c r="V2" t="s">
        <v>29</v>
      </c>
      <c r="W2" t="s">
        <v>29</v>
      </c>
      <c r="X2" t="s">
        <v>30</v>
      </c>
    </row>
    <row r="3" spans="1:24">
      <c r="A3">
        <v>6</v>
      </c>
      <c r="B3">
        <v>0</v>
      </c>
      <c r="C3">
        <v>0</v>
      </c>
      <c r="D3">
        <v>0</v>
      </c>
      <c r="E3">
        <v>0</v>
      </c>
      <c r="F3">
        <v>0</v>
      </c>
      <c r="G3">
        <v>0</v>
      </c>
      <c r="H3">
        <v>0</v>
      </c>
      <c r="I3">
        <v>0</v>
      </c>
      <c r="J3">
        <v>0</v>
      </c>
      <c r="K3">
        <v>0</v>
      </c>
      <c r="L3">
        <v>0</v>
      </c>
      <c r="M3">
        <v>0</v>
      </c>
      <c r="N3">
        <v>4</v>
      </c>
      <c r="O3">
        <v>0</v>
      </c>
      <c r="P3" t="s">
        <v>29</v>
      </c>
      <c r="Q3" t="s">
        <v>29</v>
      </c>
      <c r="R3" t="s">
        <v>29</v>
      </c>
      <c r="S3">
        <v>0</v>
      </c>
      <c r="T3">
        <v>0</v>
      </c>
      <c r="U3">
        <v>4</v>
      </c>
      <c r="V3">
        <v>1</v>
      </c>
      <c r="W3">
        <v>0</v>
      </c>
      <c r="X3" t="s">
        <v>30</v>
      </c>
    </row>
    <row r="4" spans="1:24">
      <c r="A4">
        <v>8</v>
      </c>
      <c r="B4">
        <v>0</v>
      </c>
      <c r="C4">
        <v>0</v>
      </c>
      <c r="D4">
        <v>0</v>
      </c>
      <c r="E4">
        <v>0</v>
      </c>
      <c r="F4">
        <v>0</v>
      </c>
      <c r="G4">
        <v>0</v>
      </c>
      <c r="H4">
        <v>0</v>
      </c>
      <c r="I4">
        <v>1</v>
      </c>
      <c r="J4">
        <v>1</v>
      </c>
      <c r="K4">
        <v>0</v>
      </c>
      <c r="L4">
        <v>0</v>
      </c>
      <c r="M4">
        <v>0</v>
      </c>
      <c r="N4">
        <v>0</v>
      </c>
      <c r="O4">
        <v>0</v>
      </c>
      <c r="P4">
        <v>0</v>
      </c>
      <c r="Q4">
        <v>0</v>
      </c>
      <c r="R4">
        <v>0</v>
      </c>
      <c r="S4">
        <v>0</v>
      </c>
      <c r="T4" t="s">
        <v>29</v>
      </c>
      <c r="U4">
        <v>0</v>
      </c>
      <c r="V4" t="s">
        <v>29</v>
      </c>
      <c r="W4">
        <v>0</v>
      </c>
      <c r="X4" t="s">
        <v>30</v>
      </c>
    </row>
    <row r="5" spans="1:24">
      <c r="A5">
        <v>11</v>
      </c>
      <c r="B5">
        <v>0</v>
      </c>
      <c r="C5">
        <v>0</v>
      </c>
      <c r="D5">
        <v>0</v>
      </c>
      <c r="E5">
        <v>0</v>
      </c>
      <c r="F5">
        <v>0</v>
      </c>
      <c r="G5">
        <v>0</v>
      </c>
      <c r="H5">
        <v>0</v>
      </c>
      <c r="I5">
        <v>0</v>
      </c>
      <c r="J5">
        <v>0</v>
      </c>
      <c r="K5">
        <v>0</v>
      </c>
      <c r="L5">
        <v>0</v>
      </c>
      <c r="M5">
        <v>0</v>
      </c>
      <c r="N5">
        <v>1</v>
      </c>
      <c r="O5">
        <v>1</v>
      </c>
      <c r="P5">
        <v>1</v>
      </c>
      <c r="Q5">
        <v>2</v>
      </c>
      <c r="R5">
        <v>0</v>
      </c>
      <c r="S5">
        <v>0</v>
      </c>
      <c r="T5">
        <v>1</v>
      </c>
      <c r="U5">
        <v>0</v>
      </c>
      <c r="V5">
        <v>0</v>
      </c>
      <c r="W5">
        <v>0</v>
      </c>
      <c r="X5" t="s">
        <v>30</v>
      </c>
    </row>
    <row r="6" spans="1:24">
      <c r="A6">
        <v>12</v>
      </c>
      <c r="B6">
        <v>0</v>
      </c>
      <c r="C6">
        <v>0</v>
      </c>
      <c r="D6">
        <v>0</v>
      </c>
      <c r="E6">
        <v>0</v>
      </c>
      <c r="F6">
        <v>0</v>
      </c>
      <c r="G6">
        <v>0</v>
      </c>
      <c r="H6">
        <v>0</v>
      </c>
      <c r="I6">
        <v>0</v>
      </c>
      <c r="J6">
        <v>0</v>
      </c>
      <c r="K6">
        <v>0</v>
      </c>
      <c r="L6">
        <v>0</v>
      </c>
      <c r="M6">
        <v>0</v>
      </c>
      <c r="N6">
        <v>6</v>
      </c>
      <c r="O6">
        <v>4</v>
      </c>
      <c r="P6">
        <v>0</v>
      </c>
      <c r="Q6">
        <v>5</v>
      </c>
      <c r="R6">
        <v>0</v>
      </c>
      <c r="S6">
        <v>0</v>
      </c>
      <c r="T6">
        <v>0</v>
      </c>
      <c r="U6">
        <v>0</v>
      </c>
      <c r="V6">
        <v>0</v>
      </c>
      <c r="W6">
        <v>0</v>
      </c>
      <c r="X6" t="s">
        <v>30</v>
      </c>
    </row>
    <row r="7" spans="1:24">
      <c r="A7">
        <v>13</v>
      </c>
      <c r="B7">
        <v>0</v>
      </c>
      <c r="C7">
        <v>0</v>
      </c>
      <c r="D7">
        <v>1</v>
      </c>
      <c r="E7">
        <v>0</v>
      </c>
      <c r="F7">
        <v>1</v>
      </c>
      <c r="G7">
        <v>0</v>
      </c>
      <c r="H7">
        <v>0</v>
      </c>
      <c r="I7">
        <v>0</v>
      </c>
      <c r="J7">
        <v>0</v>
      </c>
      <c r="K7">
        <v>0</v>
      </c>
      <c r="L7">
        <v>0</v>
      </c>
      <c r="M7">
        <v>0</v>
      </c>
      <c r="N7">
        <v>5</v>
      </c>
      <c r="O7">
        <v>1</v>
      </c>
      <c r="P7">
        <v>0</v>
      </c>
      <c r="Q7">
        <v>0</v>
      </c>
      <c r="R7">
        <v>0</v>
      </c>
      <c r="S7">
        <v>0</v>
      </c>
      <c r="T7" t="s">
        <v>29</v>
      </c>
      <c r="U7" t="s">
        <v>29</v>
      </c>
      <c r="V7" t="s">
        <v>29</v>
      </c>
      <c r="W7" t="s">
        <v>29</v>
      </c>
      <c r="X7" t="s">
        <v>30</v>
      </c>
    </row>
    <row r="8" spans="1:24">
      <c r="A8">
        <v>14</v>
      </c>
      <c r="B8">
        <v>4</v>
      </c>
      <c r="C8">
        <v>0</v>
      </c>
      <c r="D8">
        <v>1</v>
      </c>
      <c r="E8">
        <v>0</v>
      </c>
      <c r="F8">
        <v>8</v>
      </c>
      <c r="G8">
        <v>1</v>
      </c>
      <c r="H8">
        <v>4</v>
      </c>
      <c r="I8">
        <v>1</v>
      </c>
      <c r="J8">
        <v>0</v>
      </c>
      <c r="K8">
        <v>0</v>
      </c>
      <c r="L8">
        <v>0</v>
      </c>
      <c r="M8">
        <v>0</v>
      </c>
      <c r="N8">
        <v>2</v>
      </c>
      <c r="O8" t="s">
        <v>29</v>
      </c>
      <c r="P8">
        <v>3</v>
      </c>
      <c r="Q8">
        <v>1</v>
      </c>
      <c r="R8">
        <v>0</v>
      </c>
      <c r="S8">
        <v>0</v>
      </c>
      <c r="T8">
        <v>0</v>
      </c>
      <c r="U8">
        <v>0</v>
      </c>
      <c r="V8">
        <v>2</v>
      </c>
      <c r="W8">
        <v>2</v>
      </c>
      <c r="X8" t="s">
        <v>30</v>
      </c>
    </row>
    <row r="9" spans="1:24">
      <c r="A9">
        <v>15</v>
      </c>
      <c r="B9">
        <v>0</v>
      </c>
      <c r="C9">
        <v>0</v>
      </c>
      <c r="D9">
        <v>0</v>
      </c>
      <c r="E9">
        <v>0</v>
      </c>
      <c r="F9">
        <v>0</v>
      </c>
      <c r="G9">
        <v>0</v>
      </c>
      <c r="H9">
        <v>1</v>
      </c>
      <c r="I9">
        <v>0</v>
      </c>
      <c r="J9">
        <v>0</v>
      </c>
      <c r="K9">
        <v>0</v>
      </c>
      <c r="L9">
        <v>0</v>
      </c>
      <c r="M9">
        <v>0</v>
      </c>
      <c r="N9" t="s">
        <v>29</v>
      </c>
      <c r="O9" t="s">
        <v>29</v>
      </c>
      <c r="P9">
        <v>0</v>
      </c>
      <c r="Q9" t="s">
        <v>29</v>
      </c>
      <c r="R9" t="s">
        <v>29</v>
      </c>
      <c r="S9">
        <v>0</v>
      </c>
      <c r="T9" t="s">
        <v>29</v>
      </c>
      <c r="U9" t="s">
        <v>29</v>
      </c>
      <c r="V9" t="s">
        <v>29</v>
      </c>
      <c r="W9" t="s">
        <v>29</v>
      </c>
      <c r="X9" t="s">
        <v>30</v>
      </c>
    </row>
    <row r="10" spans="1:24">
      <c r="A10">
        <v>16</v>
      </c>
      <c r="B10">
        <v>0</v>
      </c>
      <c r="C10">
        <v>0</v>
      </c>
      <c r="D10">
        <v>0</v>
      </c>
      <c r="E10">
        <v>0</v>
      </c>
      <c r="F10">
        <v>3</v>
      </c>
      <c r="G10">
        <v>0</v>
      </c>
      <c r="H10">
        <v>0</v>
      </c>
      <c r="I10">
        <v>0</v>
      </c>
      <c r="J10">
        <v>0</v>
      </c>
      <c r="K10">
        <v>0</v>
      </c>
      <c r="L10">
        <v>0</v>
      </c>
      <c r="M10">
        <v>0</v>
      </c>
      <c r="N10">
        <v>10</v>
      </c>
      <c r="O10">
        <v>1</v>
      </c>
      <c r="P10">
        <v>1</v>
      </c>
      <c r="Q10" t="s">
        <v>29</v>
      </c>
      <c r="R10" t="s">
        <v>29</v>
      </c>
      <c r="S10">
        <v>0</v>
      </c>
      <c r="T10">
        <v>2</v>
      </c>
      <c r="U10" t="s">
        <v>29</v>
      </c>
      <c r="V10">
        <v>0</v>
      </c>
      <c r="W10">
        <v>1</v>
      </c>
      <c r="X10" t="s">
        <v>30</v>
      </c>
    </row>
    <row r="11" spans="1:24">
      <c r="A11">
        <v>17</v>
      </c>
      <c r="B11">
        <v>0</v>
      </c>
      <c r="C11">
        <v>0</v>
      </c>
      <c r="D11">
        <v>1</v>
      </c>
      <c r="E11">
        <v>0</v>
      </c>
      <c r="F11">
        <v>2</v>
      </c>
      <c r="G11">
        <v>0</v>
      </c>
      <c r="H11">
        <v>0</v>
      </c>
      <c r="I11">
        <v>0</v>
      </c>
      <c r="J11">
        <v>0</v>
      </c>
      <c r="K11">
        <v>0</v>
      </c>
      <c r="L11">
        <v>0</v>
      </c>
      <c r="M11">
        <v>0</v>
      </c>
      <c r="N11">
        <v>12</v>
      </c>
      <c r="O11">
        <v>0</v>
      </c>
      <c r="P11">
        <v>0</v>
      </c>
      <c r="Q11">
        <v>0</v>
      </c>
      <c r="R11">
        <v>0</v>
      </c>
      <c r="S11">
        <v>0</v>
      </c>
      <c r="T11">
        <v>0</v>
      </c>
      <c r="U11">
        <v>3</v>
      </c>
      <c r="V11">
        <v>1</v>
      </c>
      <c r="W11" t="s">
        <v>29</v>
      </c>
      <c r="X11" t="s">
        <v>30</v>
      </c>
    </row>
    <row r="12" spans="1:24">
      <c r="A12">
        <v>19</v>
      </c>
      <c r="B12">
        <v>0</v>
      </c>
      <c r="C12">
        <v>0</v>
      </c>
      <c r="D12">
        <v>0</v>
      </c>
      <c r="E12">
        <v>0</v>
      </c>
      <c r="F12">
        <v>0</v>
      </c>
      <c r="G12">
        <v>0</v>
      </c>
      <c r="H12">
        <v>0</v>
      </c>
      <c r="I12">
        <v>0</v>
      </c>
      <c r="J12">
        <v>0</v>
      </c>
      <c r="K12">
        <v>0</v>
      </c>
      <c r="L12">
        <v>0</v>
      </c>
      <c r="M12">
        <v>0</v>
      </c>
      <c r="N12" t="s">
        <v>29</v>
      </c>
      <c r="O12" t="s">
        <v>29</v>
      </c>
      <c r="P12">
        <v>0</v>
      </c>
      <c r="Q12">
        <v>1</v>
      </c>
      <c r="R12" t="s">
        <v>29</v>
      </c>
      <c r="S12">
        <v>0</v>
      </c>
      <c r="T12" t="s">
        <v>29</v>
      </c>
      <c r="U12" t="s">
        <v>29</v>
      </c>
      <c r="V12" t="s">
        <v>29</v>
      </c>
      <c r="W12" t="s">
        <v>29</v>
      </c>
      <c r="X12" t="s">
        <v>30</v>
      </c>
    </row>
    <row r="13" spans="1:24">
      <c r="A13">
        <v>20</v>
      </c>
      <c r="B13">
        <v>0</v>
      </c>
      <c r="C13">
        <v>0</v>
      </c>
      <c r="D13">
        <v>0</v>
      </c>
      <c r="E13">
        <v>0</v>
      </c>
      <c r="F13">
        <v>0</v>
      </c>
      <c r="G13">
        <v>0</v>
      </c>
      <c r="H13">
        <v>0</v>
      </c>
      <c r="I13">
        <v>0</v>
      </c>
      <c r="J13">
        <v>1</v>
      </c>
      <c r="K13">
        <v>0</v>
      </c>
      <c r="L13">
        <v>0</v>
      </c>
      <c r="M13">
        <v>0</v>
      </c>
      <c r="N13" t="s">
        <v>29</v>
      </c>
      <c r="O13">
        <v>0</v>
      </c>
      <c r="P13">
        <v>0</v>
      </c>
      <c r="Q13">
        <v>1</v>
      </c>
      <c r="R13">
        <v>2</v>
      </c>
      <c r="S13">
        <v>0</v>
      </c>
      <c r="T13">
        <v>0</v>
      </c>
      <c r="U13">
        <v>1</v>
      </c>
      <c r="V13">
        <v>0</v>
      </c>
      <c r="W13">
        <v>0</v>
      </c>
      <c r="X13" t="s">
        <v>30</v>
      </c>
    </row>
    <row r="14" spans="1:24">
      <c r="A14">
        <v>22</v>
      </c>
      <c r="B14">
        <v>0</v>
      </c>
      <c r="C14">
        <v>0</v>
      </c>
      <c r="D14">
        <v>2</v>
      </c>
      <c r="E14">
        <v>0</v>
      </c>
      <c r="F14">
        <v>1</v>
      </c>
      <c r="G14">
        <v>0</v>
      </c>
      <c r="H14">
        <v>0</v>
      </c>
      <c r="I14">
        <v>1</v>
      </c>
      <c r="J14">
        <v>0</v>
      </c>
      <c r="K14">
        <v>0</v>
      </c>
      <c r="L14">
        <v>0</v>
      </c>
      <c r="M14">
        <v>0</v>
      </c>
      <c r="N14">
        <v>7</v>
      </c>
      <c r="O14">
        <v>2</v>
      </c>
      <c r="P14">
        <v>0</v>
      </c>
      <c r="Q14">
        <v>1</v>
      </c>
      <c r="R14">
        <v>0</v>
      </c>
      <c r="S14">
        <v>0</v>
      </c>
      <c r="T14">
        <v>1</v>
      </c>
      <c r="U14">
        <v>1</v>
      </c>
      <c r="V14">
        <v>1</v>
      </c>
      <c r="W14">
        <v>0</v>
      </c>
      <c r="X14" t="s">
        <v>30</v>
      </c>
    </row>
    <row r="15" spans="1:24">
      <c r="A15">
        <v>23</v>
      </c>
      <c r="B15">
        <v>0</v>
      </c>
      <c r="C15">
        <v>0</v>
      </c>
      <c r="D15">
        <v>0</v>
      </c>
      <c r="E15">
        <v>0</v>
      </c>
      <c r="F15">
        <v>0</v>
      </c>
      <c r="G15">
        <v>0</v>
      </c>
      <c r="H15">
        <v>0</v>
      </c>
      <c r="I15">
        <v>0</v>
      </c>
      <c r="J15">
        <v>0</v>
      </c>
      <c r="K15">
        <v>0</v>
      </c>
      <c r="L15">
        <v>0</v>
      </c>
      <c r="M15">
        <v>0</v>
      </c>
      <c r="N15">
        <v>3</v>
      </c>
      <c r="O15">
        <v>2</v>
      </c>
      <c r="P15">
        <v>2</v>
      </c>
      <c r="Q15">
        <v>0</v>
      </c>
      <c r="R15">
        <v>0</v>
      </c>
      <c r="S15">
        <v>0</v>
      </c>
      <c r="T15">
        <v>0</v>
      </c>
      <c r="U15">
        <v>4</v>
      </c>
      <c r="V15">
        <v>0</v>
      </c>
      <c r="W15" t="s">
        <v>29</v>
      </c>
      <c r="X15" t="s">
        <v>30</v>
      </c>
    </row>
    <row r="16" spans="1:24">
      <c r="A16">
        <v>24</v>
      </c>
      <c r="B16">
        <v>1</v>
      </c>
      <c r="C16">
        <v>0</v>
      </c>
      <c r="D16">
        <v>0</v>
      </c>
      <c r="E16">
        <v>0</v>
      </c>
      <c r="F16">
        <v>0</v>
      </c>
      <c r="G16">
        <v>0</v>
      </c>
      <c r="H16">
        <v>0</v>
      </c>
      <c r="I16">
        <v>0</v>
      </c>
      <c r="J16">
        <v>0</v>
      </c>
      <c r="K16">
        <v>0</v>
      </c>
      <c r="L16">
        <v>0</v>
      </c>
      <c r="M16">
        <v>0</v>
      </c>
      <c r="N16">
        <v>2</v>
      </c>
      <c r="O16">
        <v>3</v>
      </c>
      <c r="P16">
        <v>2</v>
      </c>
      <c r="Q16">
        <v>1</v>
      </c>
      <c r="R16">
        <v>3</v>
      </c>
      <c r="S16">
        <v>0</v>
      </c>
      <c r="T16">
        <v>0</v>
      </c>
      <c r="U16">
        <v>0</v>
      </c>
      <c r="V16" t="s">
        <v>29</v>
      </c>
      <c r="W16" t="s">
        <v>29</v>
      </c>
      <c r="X16" t="s">
        <v>30</v>
      </c>
    </row>
    <row r="17" spans="1:24">
      <c r="A17">
        <v>27</v>
      </c>
      <c r="B17">
        <v>0</v>
      </c>
      <c r="C17">
        <v>0</v>
      </c>
      <c r="D17" t="s">
        <v>29</v>
      </c>
      <c r="E17">
        <v>0</v>
      </c>
      <c r="F17">
        <v>0</v>
      </c>
      <c r="G17">
        <v>0</v>
      </c>
      <c r="H17">
        <v>0</v>
      </c>
      <c r="I17">
        <v>0</v>
      </c>
      <c r="J17">
        <v>1</v>
      </c>
      <c r="K17">
        <v>0</v>
      </c>
      <c r="L17">
        <v>0</v>
      </c>
      <c r="M17">
        <v>0</v>
      </c>
      <c r="N17" t="s">
        <v>29</v>
      </c>
      <c r="O17">
        <v>0</v>
      </c>
      <c r="P17">
        <v>0</v>
      </c>
      <c r="Q17">
        <v>2</v>
      </c>
      <c r="R17">
        <v>1</v>
      </c>
      <c r="S17">
        <v>0</v>
      </c>
      <c r="T17">
        <v>0</v>
      </c>
      <c r="U17">
        <v>0</v>
      </c>
      <c r="V17" t="s">
        <v>29</v>
      </c>
      <c r="W17">
        <v>0</v>
      </c>
      <c r="X17" t="s">
        <v>30</v>
      </c>
    </row>
    <row r="18" spans="1:24">
      <c r="A18">
        <v>28</v>
      </c>
      <c r="B18" t="s">
        <v>29</v>
      </c>
      <c r="C18" t="s">
        <v>29</v>
      </c>
      <c r="D18" t="s">
        <v>29</v>
      </c>
      <c r="E18" t="s">
        <v>29</v>
      </c>
      <c r="F18" t="s">
        <v>29</v>
      </c>
      <c r="G18" t="s">
        <v>29</v>
      </c>
      <c r="H18" t="s">
        <v>29</v>
      </c>
      <c r="I18" t="s">
        <v>29</v>
      </c>
      <c r="J18" t="s">
        <v>29</v>
      </c>
      <c r="K18">
        <v>0</v>
      </c>
      <c r="L18" t="s">
        <v>29</v>
      </c>
      <c r="M18" t="s">
        <v>29</v>
      </c>
      <c r="N18" t="s">
        <v>29</v>
      </c>
      <c r="O18" t="s">
        <v>29</v>
      </c>
      <c r="P18" t="s">
        <v>29</v>
      </c>
      <c r="Q18" t="s">
        <v>29</v>
      </c>
      <c r="R18" t="s">
        <v>29</v>
      </c>
      <c r="S18" t="s">
        <v>29</v>
      </c>
      <c r="T18" t="s">
        <v>29</v>
      </c>
      <c r="U18" t="s">
        <v>29</v>
      </c>
      <c r="V18" t="s">
        <v>29</v>
      </c>
      <c r="W18" t="s">
        <v>29</v>
      </c>
      <c r="X18" t="s">
        <v>30</v>
      </c>
    </row>
    <row r="19" spans="1:24">
      <c r="A19">
        <v>30</v>
      </c>
      <c r="B19">
        <v>0</v>
      </c>
      <c r="C19">
        <v>0</v>
      </c>
      <c r="D19">
        <v>0</v>
      </c>
      <c r="E19">
        <v>0</v>
      </c>
      <c r="F19">
        <v>0</v>
      </c>
      <c r="G19">
        <v>0</v>
      </c>
      <c r="H19">
        <v>0</v>
      </c>
      <c r="I19">
        <v>4</v>
      </c>
      <c r="J19">
        <v>0</v>
      </c>
      <c r="K19">
        <v>0</v>
      </c>
      <c r="L19">
        <v>0</v>
      </c>
      <c r="M19">
        <v>0</v>
      </c>
      <c r="N19">
        <v>1</v>
      </c>
      <c r="O19">
        <v>1</v>
      </c>
      <c r="P19">
        <v>0</v>
      </c>
      <c r="Q19">
        <v>0</v>
      </c>
      <c r="R19">
        <v>5</v>
      </c>
      <c r="S19">
        <v>0</v>
      </c>
      <c r="T19">
        <v>1</v>
      </c>
      <c r="U19">
        <v>1</v>
      </c>
      <c r="V19">
        <v>0</v>
      </c>
      <c r="W19">
        <v>2</v>
      </c>
      <c r="X19" t="s">
        <v>30</v>
      </c>
    </row>
    <row r="20" spans="1:24">
      <c r="A20">
        <v>32</v>
      </c>
      <c r="B20">
        <v>0</v>
      </c>
      <c r="C20">
        <v>0</v>
      </c>
      <c r="D20">
        <v>0</v>
      </c>
      <c r="E20">
        <v>0</v>
      </c>
      <c r="F20">
        <v>0</v>
      </c>
      <c r="G20">
        <v>0</v>
      </c>
      <c r="H20">
        <v>1</v>
      </c>
      <c r="I20">
        <v>0</v>
      </c>
      <c r="J20">
        <v>0</v>
      </c>
      <c r="K20">
        <v>0</v>
      </c>
      <c r="L20">
        <v>0</v>
      </c>
      <c r="M20">
        <v>0</v>
      </c>
      <c r="N20">
        <v>4</v>
      </c>
      <c r="O20">
        <v>0</v>
      </c>
      <c r="P20">
        <v>0</v>
      </c>
      <c r="Q20">
        <v>0</v>
      </c>
      <c r="R20">
        <v>0</v>
      </c>
      <c r="S20">
        <v>0</v>
      </c>
      <c r="T20" t="s">
        <v>29</v>
      </c>
      <c r="U20">
        <v>1</v>
      </c>
      <c r="V20" t="s">
        <v>29</v>
      </c>
      <c r="W20">
        <v>0</v>
      </c>
      <c r="X20" t="s">
        <v>30</v>
      </c>
    </row>
    <row r="21" spans="1:24">
      <c r="A21">
        <v>33</v>
      </c>
      <c r="B21">
        <v>0</v>
      </c>
      <c r="C21" t="s">
        <v>29</v>
      </c>
      <c r="D21">
        <v>1</v>
      </c>
      <c r="E21">
        <v>0</v>
      </c>
      <c r="F21">
        <v>1</v>
      </c>
      <c r="G21">
        <v>0</v>
      </c>
      <c r="H21">
        <v>7</v>
      </c>
      <c r="I21">
        <v>17</v>
      </c>
      <c r="J21">
        <v>0</v>
      </c>
      <c r="K21">
        <v>0</v>
      </c>
      <c r="L21">
        <v>0</v>
      </c>
      <c r="M21">
        <v>0</v>
      </c>
      <c r="N21">
        <v>0</v>
      </c>
      <c r="O21">
        <v>0</v>
      </c>
      <c r="P21">
        <v>8</v>
      </c>
      <c r="Q21">
        <v>0</v>
      </c>
      <c r="R21">
        <v>0</v>
      </c>
      <c r="S21">
        <v>0</v>
      </c>
      <c r="T21" t="s">
        <v>29</v>
      </c>
      <c r="U21">
        <v>0</v>
      </c>
      <c r="V21" t="s">
        <v>29</v>
      </c>
      <c r="W21" t="s">
        <v>29</v>
      </c>
      <c r="X21" t="s">
        <v>30</v>
      </c>
    </row>
    <row r="22" spans="1:24">
      <c r="A22">
        <v>36</v>
      </c>
      <c r="B22">
        <v>0</v>
      </c>
      <c r="C22">
        <v>0</v>
      </c>
      <c r="D22">
        <v>1</v>
      </c>
      <c r="E22">
        <v>0</v>
      </c>
      <c r="F22">
        <v>1</v>
      </c>
      <c r="G22">
        <v>0</v>
      </c>
      <c r="H22">
        <v>0</v>
      </c>
      <c r="I22">
        <v>0</v>
      </c>
      <c r="J22">
        <v>0</v>
      </c>
      <c r="K22">
        <v>0</v>
      </c>
      <c r="L22">
        <v>0</v>
      </c>
      <c r="M22">
        <v>0</v>
      </c>
      <c r="N22">
        <v>0</v>
      </c>
      <c r="O22">
        <v>1</v>
      </c>
      <c r="P22">
        <v>0</v>
      </c>
      <c r="Q22">
        <v>0</v>
      </c>
      <c r="R22">
        <v>0</v>
      </c>
      <c r="S22">
        <v>0</v>
      </c>
      <c r="T22" t="s">
        <v>29</v>
      </c>
      <c r="U22">
        <v>0</v>
      </c>
      <c r="V22">
        <v>0</v>
      </c>
      <c r="W22" t="s">
        <v>29</v>
      </c>
      <c r="X22" t="s">
        <v>30</v>
      </c>
    </row>
    <row r="23" spans="1:24">
      <c r="A23">
        <v>38</v>
      </c>
      <c r="B23">
        <v>0</v>
      </c>
      <c r="C23">
        <v>0</v>
      </c>
      <c r="D23">
        <v>0</v>
      </c>
      <c r="E23">
        <v>0</v>
      </c>
      <c r="F23">
        <v>3</v>
      </c>
      <c r="G23">
        <v>0</v>
      </c>
      <c r="H23">
        <v>0</v>
      </c>
      <c r="I23">
        <v>0</v>
      </c>
      <c r="J23">
        <v>0</v>
      </c>
      <c r="K23">
        <v>0</v>
      </c>
      <c r="L23">
        <v>0</v>
      </c>
      <c r="M23">
        <v>0</v>
      </c>
      <c r="N23">
        <v>1</v>
      </c>
      <c r="O23">
        <v>0</v>
      </c>
      <c r="P23">
        <v>3</v>
      </c>
      <c r="Q23">
        <v>1</v>
      </c>
      <c r="R23">
        <v>0</v>
      </c>
      <c r="S23">
        <v>0</v>
      </c>
      <c r="T23">
        <v>0</v>
      </c>
      <c r="U23">
        <v>4</v>
      </c>
      <c r="V23">
        <v>0</v>
      </c>
      <c r="W23">
        <v>0</v>
      </c>
      <c r="X23" t="s">
        <v>30</v>
      </c>
    </row>
    <row r="24" spans="1:24">
      <c r="A24">
        <v>42</v>
      </c>
      <c r="B24">
        <v>0</v>
      </c>
      <c r="C24">
        <v>0</v>
      </c>
      <c r="D24">
        <v>1</v>
      </c>
      <c r="E24">
        <v>0</v>
      </c>
      <c r="F24">
        <v>1</v>
      </c>
      <c r="G24">
        <v>0</v>
      </c>
      <c r="H24">
        <v>0</v>
      </c>
      <c r="I24">
        <v>0</v>
      </c>
      <c r="J24">
        <v>1</v>
      </c>
      <c r="K24">
        <v>0</v>
      </c>
      <c r="L24">
        <v>0</v>
      </c>
      <c r="M24">
        <v>0</v>
      </c>
      <c r="N24">
        <v>7</v>
      </c>
      <c r="O24">
        <v>0</v>
      </c>
      <c r="P24" t="s">
        <v>29</v>
      </c>
      <c r="Q24">
        <v>0</v>
      </c>
      <c r="R24">
        <v>0</v>
      </c>
      <c r="S24">
        <v>0</v>
      </c>
      <c r="T24" t="s">
        <v>29</v>
      </c>
      <c r="U24" t="s">
        <v>29</v>
      </c>
      <c r="V24" t="s">
        <v>29</v>
      </c>
      <c r="W24">
        <v>0</v>
      </c>
      <c r="X24" t="s">
        <v>30</v>
      </c>
    </row>
    <row r="25" spans="1:24">
      <c r="A25">
        <v>43</v>
      </c>
      <c r="B25">
        <v>0</v>
      </c>
      <c r="C25">
        <v>1</v>
      </c>
      <c r="D25">
        <v>1</v>
      </c>
      <c r="E25">
        <v>0</v>
      </c>
      <c r="F25">
        <v>0</v>
      </c>
      <c r="G25">
        <v>0</v>
      </c>
      <c r="H25">
        <v>0</v>
      </c>
      <c r="I25">
        <v>0</v>
      </c>
      <c r="J25">
        <v>0</v>
      </c>
      <c r="K25">
        <v>0</v>
      </c>
      <c r="L25">
        <v>0</v>
      </c>
      <c r="M25">
        <v>0</v>
      </c>
      <c r="N25">
        <v>1</v>
      </c>
      <c r="O25">
        <v>0</v>
      </c>
      <c r="P25">
        <v>0</v>
      </c>
      <c r="Q25">
        <v>0</v>
      </c>
      <c r="R25">
        <v>0</v>
      </c>
      <c r="S25">
        <v>0</v>
      </c>
      <c r="T25">
        <v>0</v>
      </c>
      <c r="U25">
        <v>1</v>
      </c>
      <c r="V25">
        <v>2</v>
      </c>
      <c r="W25">
        <v>0</v>
      </c>
      <c r="X25" t="s">
        <v>30</v>
      </c>
    </row>
    <row r="26" spans="1:24">
      <c r="A26">
        <v>45</v>
      </c>
      <c r="B26">
        <v>0</v>
      </c>
      <c r="C26">
        <v>0</v>
      </c>
      <c r="D26">
        <v>0</v>
      </c>
      <c r="E26">
        <v>0</v>
      </c>
      <c r="F26">
        <v>2</v>
      </c>
      <c r="G26">
        <v>0</v>
      </c>
      <c r="H26">
        <v>0</v>
      </c>
      <c r="I26">
        <v>0</v>
      </c>
      <c r="J26">
        <v>0</v>
      </c>
      <c r="K26">
        <v>0</v>
      </c>
      <c r="L26">
        <v>0</v>
      </c>
      <c r="M26">
        <v>0</v>
      </c>
      <c r="N26">
        <v>0</v>
      </c>
      <c r="O26">
        <v>1</v>
      </c>
      <c r="P26">
        <v>0</v>
      </c>
      <c r="Q26">
        <v>0</v>
      </c>
      <c r="R26">
        <v>0</v>
      </c>
      <c r="S26">
        <v>0</v>
      </c>
      <c r="T26">
        <v>0</v>
      </c>
      <c r="U26">
        <v>0</v>
      </c>
      <c r="V26" t="s">
        <v>29</v>
      </c>
      <c r="W26" t="s">
        <v>29</v>
      </c>
      <c r="X26" t="s">
        <v>30</v>
      </c>
    </row>
    <row r="27" spans="1:24">
      <c r="A27">
        <v>47</v>
      </c>
      <c r="B27">
        <v>0</v>
      </c>
      <c r="C27">
        <v>0</v>
      </c>
      <c r="D27">
        <v>0</v>
      </c>
      <c r="E27">
        <v>0</v>
      </c>
      <c r="F27">
        <v>1</v>
      </c>
      <c r="G27">
        <v>0</v>
      </c>
      <c r="H27">
        <v>0</v>
      </c>
      <c r="I27">
        <v>0</v>
      </c>
      <c r="J27">
        <v>0</v>
      </c>
      <c r="K27">
        <v>0</v>
      </c>
      <c r="L27">
        <v>0</v>
      </c>
      <c r="M27">
        <v>0</v>
      </c>
      <c r="N27">
        <v>5</v>
      </c>
      <c r="O27">
        <v>1</v>
      </c>
      <c r="P27">
        <v>0</v>
      </c>
      <c r="Q27">
        <v>0</v>
      </c>
      <c r="R27">
        <v>0</v>
      </c>
      <c r="S27">
        <v>0</v>
      </c>
      <c r="T27">
        <v>0</v>
      </c>
      <c r="U27" t="s">
        <v>29</v>
      </c>
      <c r="V27" t="s">
        <v>29</v>
      </c>
      <c r="W27" t="s">
        <v>29</v>
      </c>
      <c r="X27" t="s">
        <v>30</v>
      </c>
    </row>
    <row r="28" spans="1:24">
      <c r="A28">
        <v>48</v>
      </c>
      <c r="B28">
        <v>0</v>
      </c>
      <c r="C28">
        <v>0</v>
      </c>
      <c r="D28">
        <v>0</v>
      </c>
      <c r="E28">
        <v>0</v>
      </c>
      <c r="F28">
        <v>0</v>
      </c>
      <c r="G28">
        <v>0</v>
      </c>
      <c r="H28">
        <v>0</v>
      </c>
      <c r="I28">
        <v>0</v>
      </c>
      <c r="J28">
        <v>0</v>
      </c>
      <c r="K28">
        <v>0</v>
      </c>
      <c r="L28">
        <v>0</v>
      </c>
      <c r="M28">
        <v>0</v>
      </c>
      <c r="N28">
        <v>0</v>
      </c>
      <c r="O28">
        <v>0</v>
      </c>
      <c r="P28">
        <v>0</v>
      </c>
      <c r="Q28">
        <v>0</v>
      </c>
      <c r="R28">
        <v>0</v>
      </c>
      <c r="S28">
        <v>0</v>
      </c>
      <c r="T28">
        <v>1</v>
      </c>
      <c r="U28">
        <v>3</v>
      </c>
      <c r="V28">
        <v>0</v>
      </c>
      <c r="W28">
        <v>1</v>
      </c>
      <c r="X28" t="s">
        <v>30</v>
      </c>
    </row>
    <row r="29" spans="1:24">
      <c r="A29">
        <v>49</v>
      </c>
      <c r="B29">
        <v>0</v>
      </c>
      <c r="C29">
        <v>0</v>
      </c>
      <c r="D29">
        <v>3</v>
      </c>
      <c r="E29">
        <v>0</v>
      </c>
      <c r="F29">
        <v>1</v>
      </c>
      <c r="G29">
        <v>0</v>
      </c>
      <c r="H29">
        <v>0</v>
      </c>
      <c r="I29">
        <v>0</v>
      </c>
      <c r="J29">
        <v>1</v>
      </c>
      <c r="K29">
        <v>0</v>
      </c>
      <c r="L29">
        <v>0</v>
      </c>
      <c r="M29">
        <v>0</v>
      </c>
      <c r="N29">
        <v>0</v>
      </c>
      <c r="O29">
        <v>0</v>
      </c>
      <c r="P29">
        <v>0</v>
      </c>
      <c r="Q29">
        <v>0</v>
      </c>
      <c r="R29">
        <v>0</v>
      </c>
      <c r="S29">
        <v>0</v>
      </c>
      <c r="T29">
        <v>1</v>
      </c>
      <c r="U29">
        <v>1</v>
      </c>
      <c r="V29">
        <v>0</v>
      </c>
      <c r="W29">
        <v>0</v>
      </c>
      <c r="X29" t="s">
        <v>30</v>
      </c>
    </row>
    <row r="30" spans="1:24">
      <c r="A30">
        <v>52</v>
      </c>
      <c r="B30">
        <v>0</v>
      </c>
      <c r="C30">
        <v>0</v>
      </c>
      <c r="D30">
        <v>0</v>
      </c>
      <c r="E30">
        <v>0</v>
      </c>
      <c r="F30">
        <v>5</v>
      </c>
      <c r="G30">
        <v>0</v>
      </c>
      <c r="H30">
        <v>0</v>
      </c>
      <c r="I30">
        <v>0</v>
      </c>
      <c r="J30">
        <v>0</v>
      </c>
      <c r="K30">
        <v>0</v>
      </c>
      <c r="L30">
        <v>0</v>
      </c>
      <c r="M30">
        <v>0</v>
      </c>
      <c r="N30">
        <v>6</v>
      </c>
      <c r="O30">
        <v>0</v>
      </c>
      <c r="P30">
        <v>0</v>
      </c>
      <c r="Q30">
        <v>0</v>
      </c>
      <c r="R30">
        <v>0</v>
      </c>
      <c r="S30">
        <v>0</v>
      </c>
      <c r="T30">
        <v>0</v>
      </c>
      <c r="U30">
        <v>0</v>
      </c>
      <c r="V30">
        <v>0</v>
      </c>
      <c r="W30">
        <v>0</v>
      </c>
      <c r="X30" t="s">
        <v>30</v>
      </c>
    </row>
    <row r="31" spans="1:24">
      <c r="A31">
        <v>54</v>
      </c>
      <c r="B31">
        <v>0</v>
      </c>
      <c r="C31">
        <v>0</v>
      </c>
      <c r="D31">
        <v>4</v>
      </c>
      <c r="E31">
        <v>1</v>
      </c>
      <c r="F31">
        <v>3</v>
      </c>
      <c r="G31">
        <v>0</v>
      </c>
      <c r="H31">
        <v>0</v>
      </c>
      <c r="I31">
        <v>1</v>
      </c>
      <c r="J31">
        <v>2</v>
      </c>
      <c r="K31">
        <v>0</v>
      </c>
      <c r="L31">
        <v>0</v>
      </c>
      <c r="M31">
        <v>0</v>
      </c>
      <c r="N31">
        <v>4</v>
      </c>
      <c r="O31">
        <v>2</v>
      </c>
      <c r="P31">
        <v>22</v>
      </c>
      <c r="Q31">
        <v>0</v>
      </c>
      <c r="R31">
        <v>2</v>
      </c>
      <c r="S31">
        <v>0</v>
      </c>
      <c r="T31">
        <v>0</v>
      </c>
      <c r="U31">
        <v>3</v>
      </c>
      <c r="V31">
        <v>0</v>
      </c>
      <c r="W31">
        <v>7</v>
      </c>
      <c r="X31" t="s">
        <v>30</v>
      </c>
    </row>
    <row r="32" spans="1:24">
      <c r="A32">
        <v>55</v>
      </c>
      <c r="B32">
        <v>0</v>
      </c>
      <c r="C32">
        <v>0</v>
      </c>
      <c r="D32">
        <v>1</v>
      </c>
      <c r="E32">
        <v>0</v>
      </c>
      <c r="F32">
        <v>1</v>
      </c>
      <c r="G32">
        <v>0</v>
      </c>
      <c r="H32">
        <v>0</v>
      </c>
      <c r="I32">
        <v>0</v>
      </c>
      <c r="J32">
        <v>1</v>
      </c>
      <c r="K32">
        <v>0</v>
      </c>
      <c r="L32">
        <v>0</v>
      </c>
      <c r="M32">
        <v>0</v>
      </c>
      <c r="N32">
        <v>1</v>
      </c>
      <c r="O32">
        <v>0</v>
      </c>
      <c r="P32">
        <v>0</v>
      </c>
      <c r="Q32">
        <v>0</v>
      </c>
      <c r="R32">
        <v>0</v>
      </c>
      <c r="S32">
        <v>0</v>
      </c>
      <c r="T32">
        <v>0</v>
      </c>
      <c r="U32">
        <v>3</v>
      </c>
      <c r="V32">
        <v>0</v>
      </c>
      <c r="W32">
        <v>2</v>
      </c>
      <c r="X32" t="s">
        <v>30</v>
      </c>
    </row>
    <row r="33" spans="1:24">
      <c r="A33">
        <v>57</v>
      </c>
      <c r="B33">
        <v>1</v>
      </c>
      <c r="C33">
        <v>0</v>
      </c>
      <c r="D33">
        <v>0</v>
      </c>
      <c r="E33">
        <v>0</v>
      </c>
      <c r="F33">
        <v>0</v>
      </c>
      <c r="G33">
        <v>0</v>
      </c>
      <c r="H33">
        <v>0</v>
      </c>
      <c r="I33">
        <v>0</v>
      </c>
      <c r="J33">
        <v>0</v>
      </c>
      <c r="K33">
        <v>0</v>
      </c>
      <c r="L33">
        <v>0</v>
      </c>
      <c r="M33">
        <v>0</v>
      </c>
      <c r="N33">
        <v>5</v>
      </c>
      <c r="O33">
        <v>2</v>
      </c>
      <c r="P33">
        <v>0</v>
      </c>
      <c r="Q33">
        <v>0</v>
      </c>
      <c r="R33" t="s">
        <v>29</v>
      </c>
      <c r="S33">
        <v>0</v>
      </c>
      <c r="T33">
        <v>0</v>
      </c>
      <c r="U33">
        <v>0</v>
      </c>
      <c r="V33">
        <v>0</v>
      </c>
      <c r="W33" t="s">
        <v>29</v>
      </c>
      <c r="X33" t="s">
        <v>30</v>
      </c>
    </row>
    <row r="34" spans="1:24">
      <c r="A34">
        <v>58</v>
      </c>
      <c r="B34">
        <v>0</v>
      </c>
      <c r="C34">
        <v>0</v>
      </c>
      <c r="D34">
        <v>0</v>
      </c>
      <c r="E34">
        <v>0</v>
      </c>
      <c r="F34">
        <v>0</v>
      </c>
      <c r="G34">
        <v>0</v>
      </c>
      <c r="H34">
        <v>0</v>
      </c>
      <c r="I34">
        <v>1</v>
      </c>
      <c r="J34">
        <v>0</v>
      </c>
      <c r="K34">
        <v>0</v>
      </c>
      <c r="L34">
        <v>0</v>
      </c>
      <c r="M34">
        <v>0</v>
      </c>
      <c r="N34">
        <v>0</v>
      </c>
      <c r="O34">
        <v>2</v>
      </c>
      <c r="P34">
        <v>2</v>
      </c>
      <c r="Q34">
        <v>0</v>
      </c>
      <c r="R34">
        <v>0</v>
      </c>
      <c r="S34">
        <v>0</v>
      </c>
      <c r="T34">
        <v>1</v>
      </c>
      <c r="U34">
        <v>0</v>
      </c>
      <c r="V34">
        <v>0</v>
      </c>
      <c r="W34">
        <v>0</v>
      </c>
      <c r="X34" t="s">
        <v>30</v>
      </c>
    </row>
    <row r="35" spans="1:24">
      <c r="A35">
        <v>62</v>
      </c>
      <c r="B35">
        <v>0</v>
      </c>
      <c r="C35">
        <v>1</v>
      </c>
      <c r="D35">
        <v>2</v>
      </c>
      <c r="E35">
        <v>0</v>
      </c>
      <c r="F35" t="s">
        <v>29</v>
      </c>
      <c r="G35">
        <v>0</v>
      </c>
      <c r="H35" t="s">
        <v>29</v>
      </c>
      <c r="I35" t="s">
        <v>29</v>
      </c>
      <c r="J35" t="s">
        <v>29</v>
      </c>
      <c r="K35">
        <v>0</v>
      </c>
      <c r="L35">
        <v>0</v>
      </c>
      <c r="M35">
        <v>0</v>
      </c>
      <c r="N35">
        <v>0</v>
      </c>
      <c r="O35">
        <v>0</v>
      </c>
      <c r="P35">
        <v>0</v>
      </c>
      <c r="Q35">
        <v>0</v>
      </c>
      <c r="R35">
        <v>2</v>
      </c>
      <c r="S35">
        <v>0</v>
      </c>
      <c r="T35">
        <v>0</v>
      </c>
      <c r="U35">
        <v>0</v>
      </c>
      <c r="V35">
        <v>0</v>
      </c>
      <c r="W35">
        <v>0</v>
      </c>
      <c r="X35" t="s">
        <v>30</v>
      </c>
    </row>
    <row r="36" spans="1:24">
      <c r="A36">
        <v>63</v>
      </c>
      <c r="B36">
        <v>1</v>
      </c>
      <c r="C36">
        <v>0</v>
      </c>
      <c r="D36">
        <v>0</v>
      </c>
      <c r="E36">
        <v>0</v>
      </c>
      <c r="F36">
        <v>0</v>
      </c>
      <c r="G36">
        <v>1</v>
      </c>
      <c r="H36">
        <v>0</v>
      </c>
      <c r="I36">
        <v>0</v>
      </c>
      <c r="J36">
        <v>0</v>
      </c>
      <c r="K36">
        <v>0</v>
      </c>
      <c r="L36">
        <v>0</v>
      </c>
      <c r="M36">
        <v>0</v>
      </c>
      <c r="N36">
        <v>0</v>
      </c>
      <c r="O36">
        <v>0</v>
      </c>
      <c r="P36">
        <v>0</v>
      </c>
      <c r="Q36">
        <v>0</v>
      </c>
      <c r="R36">
        <v>0</v>
      </c>
      <c r="S36">
        <v>0</v>
      </c>
      <c r="T36">
        <v>0</v>
      </c>
      <c r="U36" t="s">
        <v>29</v>
      </c>
      <c r="V36">
        <v>0</v>
      </c>
      <c r="W36" t="s">
        <v>29</v>
      </c>
      <c r="X36" t="s">
        <v>30</v>
      </c>
    </row>
    <row r="37" spans="1:24">
      <c r="A37">
        <v>64</v>
      </c>
      <c r="B37">
        <v>0</v>
      </c>
      <c r="C37">
        <v>0</v>
      </c>
      <c r="D37">
        <v>5</v>
      </c>
      <c r="E37">
        <v>0</v>
      </c>
      <c r="F37" t="s">
        <v>29</v>
      </c>
      <c r="G37">
        <v>1</v>
      </c>
      <c r="H37">
        <v>0</v>
      </c>
      <c r="I37">
        <v>3</v>
      </c>
      <c r="J37">
        <v>0</v>
      </c>
      <c r="K37">
        <v>0</v>
      </c>
      <c r="L37">
        <v>0</v>
      </c>
      <c r="M37">
        <v>0</v>
      </c>
      <c r="N37">
        <v>3</v>
      </c>
      <c r="O37">
        <v>0</v>
      </c>
      <c r="P37">
        <v>0</v>
      </c>
      <c r="Q37">
        <v>2</v>
      </c>
      <c r="R37">
        <v>0</v>
      </c>
      <c r="S37">
        <v>0</v>
      </c>
      <c r="T37">
        <v>0</v>
      </c>
      <c r="U37">
        <v>7</v>
      </c>
      <c r="V37" t="s">
        <v>29</v>
      </c>
      <c r="W37">
        <v>1</v>
      </c>
      <c r="X37" t="s">
        <v>30</v>
      </c>
    </row>
    <row r="38" spans="1:24">
      <c r="A38">
        <v>65</v>
      </c>
      <c r="B38">
        <v>0</v>
      </c>
      <c r="C38">
        <v>0</v>
      </c>
      <c r="D38">
        <v>0</v>
      </c>
      <c r="E38">
        <v>0</v>
      </c>
      <c r="F38">
        <v>0</v>
      </c>
      <c r="G38">
        <v>0</v>
      </c>
      <c r="H38">
        <v>0</v>
      </c>
      <c r="I38">
        <v>1</v>
      </c>
      <c r="J38">
        <v>0</v>
      </c>
      <c r="K38">
        <v>0</v>
      </c>
      <c r="L38">
        <v>0</v>
      </c>
      <c r="M38">
        <v>0</v>
      </c>
      <c r="N38">
        <v>0</v>
      </c>
      <c r="O38">
        <v>0</v>
      </c>
      <c r="P38">
        <v>0</v>
      </c>
      <c r="Q38">
        <v>0</v>
      </c>
      <c r="R38">
        <v>0</v>
      </c>
      <c r="S38">
        <v>0</v>
      </c>
      <c r="T38">
        <v>0</v>
      </c>
      <c r="U38">
        <v>0</v>
      </c>
      <c r="V38" t="s">
        <v>29</v>
      </c>
      <c r="W38" t="s">
        <v>29</v>
      </c>
      <c r="X38" t="s">
        <v>30</v>
      </c>
    </row>
    <row r="39" spans="1:24">
      <c r="A39">
        <v>68</v>
      </c>
      <c r="B39">
        <v>0</v>
      </c>
      <c r="C39">
        <v>0</v>
      </c>
      <c r="D39">
        <v>0</v>
      </c>
      <c r="E39">
        <v>0</v>
      </c>
      <c r="F39">
        <v>0</v>
      </c>
      <c r="G39">
        <v>0</v>
      </c>
      <c r="H39">
        <v>0</v>
      </c>
      <c r="I39">
        <v>0</v>
      </c>
      <c r="J39">
        <v>0</v>
      </c>
      <c r="K39">
        <v>0</v>
      </c>
      <c r="L39">
        <v>0</v>
      </c>
      <c r="M39">
        <v>0</v>
      </c>
      <c r="N39">
        <v>1</v>
      </c>
      <c r="O39">
        <v>1</v>
      </c>
      <c r="P39">
        <v>0</v>
      </c>
      <c r="Q39">
        <v>1</v>
      </c>
      <c r="R39">
        <v>0</v>
      </c>
      <c r="S39">
        <v>0</v>
      </c>
      <c r="T39">
        <v>0</v>
      </c>
      <c r="U39">
        <v>0</v>
      </c>
      <c r="V39">
        <v>0</v>
      </c>
      <c r="W39">
        <v>0</v>
      </c>
      <c r="X39" t="s">
        <v>30</v>
      </c>
    </row>
    <row r="40" spans="1:24">
      <c r="A40">
        <v>73</v>
      </c>
      <c r="B40">
        <v>0</v>
      </c>
      <c r="C40">
        <v>1</v>
      </c>
      <c r="D40">
        <v>1</v>
      </c>
      <c r="E40">
        <v>0</v>
      </c>
      <c r="F40" t="s">
        <v>29</v>
      </c>
      <c r="G40">
        <v>0</v>
      </c>
      <c r="H40">
        <v>0</v>
      </c>
      <c r="I40">
        <v>0</v>
      </c>
      <c r="J40">
        <v>0</v>
      </c>
      <c r="K40">
        <v>0</v>
      </c>
      <c r="L40">
        <v>0</v>
      </c>
      <c r="M40">
        <v>0</v>
      </c>
      <c r="N40">
        <v>3</v>
      </c>
      <c r="O40">
        <v>0</v>
      </c>
      <c r="P40">
        <v>0</v>
      </c>
      <c r="Q40">
        <v>0</v>
      </c>
      <c r="R40">
        <v>0</v>
      </c>
      <c r="S40">
        <v>0</v>
      </c>
      <c r="T40">
        <v>2</v>
      </c>
      <c r="U40" t="s">
        <v>29</v>
      </c>
      <c r="V40">
        <v>0</v>
      </c>
      <c r="W40">
        <v>0</v>
      </c>
      <c r="X40" t="s">
        <v>30</v>
      </c>
    </row>
    <row r="41" spans="1:24">
      <c r="A41">
        <v>74</v>
      </c>
      <c r="B41">
        <v>0</v>
      </c>
      <c r="C41">
        <v>0</v>
      </c>
      <c r="D41">
        <v>0</v>
      </c>
      <c r="E41">
        <v>0</v>
      </c>
      <c r="F41">
        <v>0</v>
      </c>
      <c r="G41">
        <v>0</v>
      </c>
      <c r="H41">
        <v>0</v>
      </c>
      <c r="I41">
        <v>1</v>
      </c>
      <c r="J41">
        <v>0</v>
      </c>
      <c r="K41">
        <v>0</v>
      </c>
      <c r="L41">
        <v>0</v>
      </c>
      <c r="M41">
        <v>0</v>
      </c>
      <c r="N41">
        <v>0</v>
      </c>
      <c r="O41">
        <v>0</v>
      </c>
      <c r="P41">
        <v>0</v>
      </c>
      <c r="Q41">
        <v>0</v>
      </c>
      <c r="R41">
        <v>0</v>
      </c>
      <c r="S41">
        <v>0</v>
      </c>
      <c r="T41">
        <v>0</v>
      </c>
      <c r="U41">
        <v>0</v>
      </c>
      <c r="V41">
        <v>0</v>
      </c>
      <c r="W41">
        <v>0</v>
      </c>
      <c r="X41" t="s">
        <v>30</v>
      </c>
    </row>
    <row r="42" spans="1:24">
      <c r="A42">
        <v>75</v>
      </c>
      <c r="B42">
        <v>0</v>
      </c>
      <c r="C42">
        <v>0</v>
      </c>
      <c r="D42">
        <v>0</v>
      </c>
      <c r="E42">
        <v>0</v>
      </c>
      <c r="F42">
        <v>0</v>
      </c>
      <c r="G42">
        <v>0</v>
      </c>
      <c r="H42">
        <v>0</v>
      </c>
      <c r="I42">
        <v>0</v>
      </c>
      <c r="J42">
        <v>1</v>
      </c>
      <c r="K42">
        <v>0</v>
      </c>
      <c r="L42">
        <v>0</v>
      </c>
      <c r="M42">
        <v>0</v>
      </c>
      <c r="N42" t="s">
        <v>29</v>
      </c>
      <c r="O42">
        <v>0</v>
      </c>
      <c r="P42">
        <v>5</v>
      </c>
      <c r="Q42">
        <v>0</v>
      </c>
      <c r="R42">
        <v>0</v>
      </c>
      <c r="S42" t="s">
        <v>29</v>
      </c>
      <c r="T42">
        <v>2</v>
      </c>
      <c r="U42">
        <v>1</v>
      </c>
      <c r="V42">
        <v>0</v>
      </c>
      <c r="W42">
        <v>0</v>
      </c>
      <c r="X42" t="s">
        <v>30</v>
      </c>
    </row>
    <row r="43" spans="1:24">
      <c r="A43">
        <v>78</v>
      </c>
      <c r="B43">
        <v>0</v>
      </c>
      <c r="C43">
        <v>1</v>
      </c>
      <c r="D43">
        <v>1</v>
      </c>
      <c r="E43">
        <v>0</v>
      </c>
      <c r="F43">
        <v>3</v>
      </c>
      <c r="G43">
        <v>0</v>
      </c>
      <c r="H43">
        <v>0</v>
      </c>
      <c r="I43">
        <v>0</v>
      </c>
      <c r="J43">
        <v>0</v>
      </c>
      <c r="K43">
        <v>0</v>
      </c>
      <c r="L43">
        <v>0</v>
      </c>
      <c r="M43">
        <v>0</v>
      </c>
      <c r="N43">
        <v>1</v>
      </c>
      <c r="O43">
        <v>0</v>
      </c>
      <c r="P43">
        <v>3</v>
      </c>
      <c r="Q43">
        <v>0</v>
      </c>
      <c r="R43">
        <v>0</v>
      </c>
      <c r="S43">
        <v>0</v>
      </c>
      <c r="T43">
        <v>0</v>
      </c>
      <c r="U43">
        <v>4</v>
      </c>
      <c r="V43">
        <v>0</v>
      </c>
      <c r="W43">
        <v>0</v>
      </c>
      <c r="X43" t="s">
        <v>30</v>
      </c>
    </row>
    <row r="44" spans="1:24">
      <c r="A44">
        <v>79</v>
      </c>
      <c r="B44">
        <v>0</v>
      </c>
      <c r="C44">
        <v>0</v>
      </c>
      <c r="D44">
        <v>0</v>
      </c>
      <c r="E44">
        <v>0</v>
      </c>
      <c r="F44">
        <v>1</v>
      </c>
      <c r="G44">
        <v>0</v>
      </c>
      <c r="H44">
        <v>0</v>
      </c>
      <c r="I44">
        <v>0</v>
      </c>
      <c r="J44">
        <v>0</v>
      </c>
      <c r="K44">
        <v>0</v>
      </c>
      <c r="L44">
        <v>1</v>
      </c>
      <c r="M44">
        <v>0</v>
      </c>
      <c r="N44">
        <v>3</v>
      </c>
      <c r="O44">
        <v>0</v>
      </c>
      <c r="P44">
        <v>0</v>
      </c>
      <c r="Q44">
        <v>0</v>
      </c>
      <c r="R44">
        <v>0</v>
      </c>
      <c r="S44">
        <v>0</v>
      </c>
      <c r="T44">
        <v>0</v>
      </c>
      <c r="U44">
        <v>0</v>
      </c>
      <c r="V44">
        <v>0</v>
      </c>
      <c r="W44">
        <v>0</v>
      </c>
      <c r="X44" t="s">
        <v>30</v>
      </c>
    </row>
    <row r="45" spans="1:24">
      <c r="A45">
        <v>80</v>
      </c>
      <c r="B45">
        <v>0</v>
      </c>
      <c r="C45">
        <v>4</v>
      </c>
      <c r="D45">
        <v>0</v>
      </c>
      <c r="E45">
        <v>0</v>
      </c>
      <c r="F45">
        <v>1</v>
      </c>
      <c r="G45">
        <v>1</v>
      </c>
      <c r="H45">
        <v>0</v>
      </c>
      <c r="I45">
        <v>2</v>
      </c>
      <c r="J45">
        <v>0</v>
      </c>
      <c r="K45">
        <v>0</v>
      </c>
      <c r="L45">
        <v>0</v>
      </c>
      <c r="M45">
        <v>0</v>
      </c>
      <c r="N45">
        <v>2</v>
      </c>
      <c r="O45">
        <v>1</v>
      </c>
      <c r="P45" t="s">
        <v>29</v>
      </c>
      <c r="Q45">
        <v>1</v>
      </c>
      <c r="R45">
        <v>0</v>
      </c>
      <c r="S45">
        <v>0</v>
      </c>
      <c r="T45">
        <v>1</v>
      </c>
      <c r="U45">
        <v>1</v>
      </c>
      <c r="V45">
        <v>0</v>
      </c>
      <c r="W45">
        <v>0</v>
      </c>
      <c r="X45" t="s">
        <v>30</v>
      </c>
    </row>
    <row r="46" spans="1:24">
      <c r="A46">
        <v>81</v>
      </c>
      <c r="B46">
        <v>0</v>
      </c>
      <c r="C46">
        <v>0</v>
      </c>
      <c r="D46">
        <v>0</v>
      </c>
      <c r="E46">
        <v>0</v>
      </c>
      <c r="F46">
        <v>0</v>
      </c>
      <c r="G46">
        <v>0</v>
      </c>
      <c r="H46">
        <v>1</v>
      </c>
      <c r="I46">
        <v>0</v>
      </c>
      <c r="J46">
        <v>0</v>
      </c>
      <c r="K46">
        <v>0</v>
      </c>
      <c r="L46">
        <v>0</v>
      </c>
      <c r="M46">
        <v>0</v>
      </c>
      <c r="N46">
        <v>4</v>
      </c>
      <c r="O46">
        <v>1</v>
      </c>
      <c r="P46">
        <v>0</v>
      </c>
      <c r="Q46">
        <v>0</v>
      </c>
      <c r="R46">
        <v>0</v>
      </c>
      <c r="S46">
        <v>0</v>
      </c>
      <c r="T46">
        <v>1</v>
      </c>
      <c r="U46">
        <v>1</v>
      </c>
      <c r="V46">
        <v>0</v>
      </c>
      <c r="W46">
        <v>0</v>
      </c>
      <c r="X46" t="s">
        <v>30</v>
      </c>
    </row>
    <row r="47" spans="1:24">
      <c r="A47">
        <v>82</v>
      </c>
      <c r="B47">
        <v>0</v>
      </c>
      <c r="C47">
        <v>0</v>
      </c>
      <c r="D47">
        <v>0</v>
      </c>
      <c r="E47">
        <v>0</v>
      </c>
      <c r="F47">
        <v>0</v>
      </c>
      <c r="G47">
        <v>0</v>
      </c>
      <c r="H47">
        <v>2</v>
      </c>
      <c r="I47">
        <v>1</v>
      </c>
      <c r="J47">
        <v>0</v>
      </c>
      <c r="K47">
        <v>0</v>
      </c>
      <c r="L47">
        <v>0</v>
      </c>
      <c r="M47">
        <v>0</v>
      </c>
      <c r="N47">
        <v>9</v>
      </c>
      <c r="O47">
        <v>0</v>
      </c>
      <c r="P47">
        <v>0</v>
      </c>
      <c r="Q47">
        <v>0</v>
      </c>
      <c r="R47">
        <v>0</v>
      </c>
      <c r="S47">
        <v>0</v>
      </c>
      <c r="T47" t="s">
        <v>29</v>
      </c>
      <c r="U47">
        <v>0</v>
      </c>
      <c r="V47" t="s">
        <v>29</v>
      </c>
      <c r="W47" t="s">
        <v>29</v>
      </c>
      <c r="X47" t="s">
        <v>30</v>
      </c>
    </row>
    <row r="48" spans="1:24">
      <c r="A48">
        <v>83</v>
      </c>
      <c r="B48">
        <v>0</v>
      </c>
      <c r="C48">
        <v>0</v>
      </c>
      <c r="D48">
        <v>4</v>
      </c>
      <c r="E48">
        <v>0</v>
      </c>
      <c r="F48">
        <v>0</v>
      </c>
      <c r="G48">
        <v>0</v>
      </c>
      <c r="H48">
        <v>1</v>
      </c>
      <c r="I48">
        <v>0</v>
      </c>
      <c r="J48">
        <v>2</v>
      </c>
      <c r="K48">
        <v>0</v>
      </c>
      <c r="L48">
        <v>0</v>
      </c>
      <c r="M48">
        <v>0</v>
      </c>
      <c r="N48">
        <v>0</v>
      </c>
      <c r="O48">
        <v>0</v>
      </c>
      <c r="P48">
        <v>0</v>
      </c>
      <c r="Q48">
        <v>1</v>
      </c>
      <c r="R48">
        <v>1</v>
      </c>
      <c r="S48">
        <v>0</v>
      </c>
      <c r="T48">
        <v>2</v>
      </c>
      <c r="U48">
        <v>4</v>
      </c>
      <c r="V48">
        <v>0</v>
      </c>
      <c r="W48" t="s">
        <v>29</v>
      </c>
      <c r="X48" t="s">
        <v>30</v>
      </c>
    </row>
    <row r="49" spans="1:26">
      <c r="A49">
        <v>84</v>
      </c>
      <c r="B49">
        <v>0</v>
      </c>
      <c r="C49">
        <v>1</v>
      </c>
      <c r="D49">
        <v>2</v>
      </c>
      <c r="E49" t="s">
        <v>29</v>
      </c>
      <c r="F49">
        <v>1</v>
      </c>
      <c r="G49">
        <v>2</v>
      </c>
      <c r="H49">
        <v>0</v>
      </c>
      <c r="I49">
        <v>0</v>
      </c>
      <c r="J49">
        <v>0</v>
      </c>
      <c r="K49">
        <v>0</v>
      </c>
      <c r="L49">
        <v>0</v>
      </c>
      <c r="M49">
        <v>0</v>
      </c>
      <c r="N49" t="s">
        <v>29</v>
      </c>
      <c r="O49">
        <v>1</v>
      </c>
      <c r="P49" t="s">
        <v>29</v>
      </c>
      <c r="Q49">
        <v>0</v>
      </c>
      <c r="R49">
        <v>0</v>
      </c>
      <c r="S49">
        <v>0</v>
      </c>
      <c r="T49">
        <v>1</v>
      </c>
      <c r="U49">
        <v>0</v>
      </c>
      <c r="V49">
        <v>0</v>
      </c>
      <c r="W49">
        <v>2</v>
      </c>
      <c r="X49" t="s">
        <v>30</v>
      </c>
    </row>
    <row r="50" spans="1:26">
      <c r="A50">
        <v>85</v>
      </c>
      <c r="B50">
        <v>0</v>
      </c>
      <c r="C50">
        <v>0</v>
      </c>
      <c r="D50">
        <v>0</v>
      </c>
      <c r="E50">
        <v>0</v>
      </c>
      <c r="F50">
        <v>0</v>
      </c>
      <c r="G50">
        <v>0</v>
      </c>
      <c r="H50">
        <v>0</v>
      </c>
      <c r="I50">
        <v>1</v>
      </c>
      <c r="J50">
        <v>0</v>
      </c>
      <c r="K50">
        <v>0</v>
      </c>
      <c r="L50">
        <v>0</v>
      </c>
      <c r="M50">
        <v>0</v>
      </c>
      <c r="N50">
        <v>3</v>
      </c>
      <c r="O50">
        <v>1</v>
      </c>
      <c r="P50">
        <v>0</v>
      </c>
      <c r="Q50">
        <v>0</v>
      </c>
      <c r="R50">
        <v>0</v>
      </c>
      <c r="S50">
        <v>0</v>
      </c>
      <c r="T50">
        <v>0</v>
      </c>
      <c r="U50">
        <v>0</v>
      </c>
      <c r="V50">
        <v>0</v>
      </c>
      <c r="W50">
        <v>2</v>
      </c>
      <c r="X50" t="s">
        <v>30</v>
      </c>
    </row>
    <row r="51" spans="1:26">
      <c r="A51">
        <v>86</v>
      </c>
      <c r="B51">
        <v>0</v>
      </c>
      <c r="C51">
        <v>0</v>
      </c>
      <c r="D51">
        <v>0</v>
      </c>
      <c r="E51">
        <v>0</v>
      </c>
      <c r="F51">
        <v>1</v>
      </c>
      <c r="G51">
        <v>0</v>
      </c>
      <c r="H51">
        <v>0</v>
      </c>
      <c r="I51">
        <v>0</v>
      </c>
      <c r="J51">
        <v>1</v>
      </c>
      <c r="K51">
        <v>0</v>
      </c>
      <c r="L51">
        <v>0</v>
      </c>
      <c r="M51">
        <v>0</v>
      </c>
      <c r="N51">
        <v>0</v>
      </c>
      <c r="O51">
        <v>0</v>
      </c>
      <c r="P51">
        <v>0</v>
      </c>
      <c r="Q51">
        <v>0</v>
      </c>
      <c r="R51">
        <v>0</v>
      </c>
      <c r="S51">
        <v>0</v>
      </c>
      <c r="T51">
        <v>0</v>
      </c>
      <c r="U51" t="s">
        <v>29</v>
      </c>
      <c r="V51" t="s">
        <v>29</v>
      </c>
      <c r="W51">
        <v>0</v>
      </c>
      <c r="X51" t="s">
        <v>30</v>
      </c>
    </row>
    <row r="52" spans="1:26">
      <c r="A52">
        <v>87</v>
      </c>
      <c r="B52" t="s">
        <v>29</v>
      </c>
      <c r="C52" t="s">
        <v>29</v>
      </c>
      <c r="D52">
        <v>0</v>
      </c>
      <c r="E52">
        <v>0</v>
      </c>
      <c r="F52">
        <v>0</v>
      </c>
      <c r="G52">
        <v>0</v>
      </c>
      <c r="H52">
        <v>0</v>
      </c>
      <c r="I52">
        <v>0</v>
      </c>
      <c r="J52">
        <v>0</v>
      </c>
      <c r="K52">
        <v>0</v>
      </c>
      <c r="L52">
        <v>0</v>
      </c>
      <c r="M52">
        <v>0</v>
      </c>
      <c r="N52">
        <v>0</v>
      </c>
      <c r="O52">
        <v>0</v>
      </c>
      <c r="P52">
        <v>0</v>
      </c>
      <c r="Q52">
        <v>0</v>
      </c>
      <c r="R52">
        <v>0</v>
      </c>
      <c r="S52">
        <v>6</v>
      </c>
      <c r="T52">
        <v>0</v>
      </c>
      <c r="U52">
        <v>0</v>
      </c>
      <c r="V52">
        <v>0</v>
      </c>
      <c r="W52">
        <v>2</v>
      </c>
      <c r="X52">
        <v>2</v>
      </c>
      <c r="Y52">
        <v>0</v>
      </c>
      <c r="Z52" t="s">
        <v>30</v>
      </c>
    </row>
    <row r="53" spans="1:26">
      <c r="B53">
        <f>B54+1</f>
        <v>1.1599999999999999</v>
      </c>
      <c r="C53">
        <f t="shared" ref="C53:Y53" si="0">C54+1</f>
        <v>1.1836734693877551</v>
      </c>
      <c r="D53">
        <f t="shared" si="0"/>
        <v>1.6400000000000001</v>
      </c>
      <c r="E53">
        <f t="shared" si="0"/>
        <v>1.02</v>
      </c>
      <c r="F53">
        <f t="shared" si="0"/>
        <v>1.875</v>
      </c>
      <c r="G53">
        <f t="shared" si="0"/>
        <v>1.1176470588235294</v>
      </c>
      <c r="H53">
        <f t="shared" si="0"/>
        <v>1.34</v>
      </c>
      <c r="I53">
        <f t="shared" si="0"/>
        <v>1.76</v>
      </c>
      <c r="J53">
        <f t="shared" si="0"/>
        <v>1.3</v>
      </c>
      <c r="K53">
        <f t="shared" si="0"/>
        <v>1</v>
      </c>
      <c r="L53">
        <f t="shared" si="0"/>
        <v>1.02</v>
      </c>
      <c r="M53">
        <f t="shared" si="0"/>
        <v>1</v>
      </c>
      <c r="N53">
        <f t="shared" si="0"/>
        <v>3.6590909090909092</v>
      </c>
      <c r="O53">
        <f t="shared" si="0"/>
        <v>1.6170212765957448</v>
      </c>
      <c r="P53">
        <f t="shared" si="0"/>
        <v>2.1304347826086953</v>
      </c>
      <c r="Q53">
        <f t="shared" si="0"/>
        <v>1.4468085106382977</v>
      </c>
      <c r="R53">
        <f t="shared" si="0"/>
        <v>1.3777777777777778</v>
      </c>
      <c r="S53">
        <f t="shared" si="0"/>
        <v>1.1224489795918366</v>
      </c>
      <c r="T53">
        <f t="shared" si="0"/>
        <v>1.4146341463414633</v>
      </c>
      <c r="U53">
        <f t="shared" si="0"/>
        <v>2.1951219512195124</v>
      </c>
      <c r="V53">
        <f t="shared" si="0"/>
        <v>1.2</v>
      </c>
      <c r="W53">
        <f t="shared" si="0"/>
        <v>1.657142857142857</v>
      </c>
      <c r="X53">
        <f t="shared" si="0"/>
        <v>3</v>
      </c>
      <c r="Y53">
        <f t="shared" si="0"/>
        <v>1</v>
      </c>
    </row>
    <row r="54" spans="1:26">
      <c r="B54">
        <f>AVERAGE(B1:B52)</f>
        <v>0.16</v>
      </c>
      <c r="C54">
        <f>AVERAGE(C1:C52)</f>
        <v>0.18367346938775511</v>
      </c>
      <c r="D54">
        <f>AVERAGE(D1:D52)</f>
        <v>0.64</v>
      </c>
      <c r="E54">
        <f>AVERAGE(E1:E52)</f>
        <v>0.02</v>
      </c>
      <c r="F54">
        <f>AVERAGE(F1:F52)</f>
        <v>0.875</v>
      </c>
      <c r="G54">
        <f>AVERAGE(G1:G52)</f>
        <v>0.11764705882352941</v>
      </c>
      <c r="H54">
        <f>AVERAGE(H1:H52)</f>
        <v>0.34</v>
      </c>
      <c r="I54">
        <f>AVERAGE(I1:I52)</f>
        <v>0.76</v>
      </c>
      <c r="J54">
        <f>AVERAGE(J1:J52)</f>
        <v>0.3</v>
      </c>
      <c r="K54">
        <f>AVERAGE(K1:K52)</f>
        <v>0</v>
      </c>
      <c r="L54">
        <f>AVERAGE(L1:L52)</f>
        <v>0.02</v>
      </c>
      <c r="M54">
        <f>AVERAGE(M1:M52)</f>
        <v>0</v>
      </c>
      <c r="N54">
        <f>AVERAGE(N1:N52)</f>
        <v>2.6590909090909092</v>
      </c>
      <c r="O54">
        <f>AVERAGE(O1:O52)</f>
        <v>0.61702127659574468</v>
      </c>
      <c r="P54">
        <f>AVERAGE(P1:P52)</f>
        <v>1.1304347826086956</v>
      </c>
      <c r="Q54">
        <f>AVERAGE(Q1:Q52)</f>
        <v>0.44680851063829785</v>
      </c>
      <c r="R54">
        <f>AVERAGE(R1:R52)</f>
        <v>0.37777777777777777</v>
      </c>
      <c r="S54">
        <f>AVERAGE(S1:S52)</f>
        <v>0.12244897959183673</v>
      </c>
      <c r="T54">
        <f>AVERAGE(T1:T52)</f>
        <v>0.41463414634146339</v>
      </c>
      <c r="U54">
        <f>AVERAGE(U1:U52)</f>
        <v>1.1951219512195121</v>
      </c>
      <c r="V54">
        <f>AVERAGE(V1:V52)</f>
        <v>0.2</v>
      </c>
      <c r="W54">
        <f>AVERAGE(W1:W52)</f>
        <v>0.65714285714285714</v>
      </c>
      <c r="X54">
        <f>AVERAGE(X1:X52)</f>
        <v>2</v>
      </c>
      <c r="Y54">
        <f>AVERAGE(Y1:Y52)</f>
        <v>0</v>
      </c>
    </row>
    <row r="55" spans="1:26">
      <c r="B55">
        <f>AVERAGE(B53:Y53)</f>
        <v>1.5515334049674323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5"/>
  <sheetViews>
    <sheetView topLeftCell="A26" workbookViewId="0">
      <selection activeCell="B55" sqref="B55"/>
    </sheetView>
  </sheetViews>
  <sheetFormatPr baseColWidth="10" defaultColWidth="11" defaultRowHeight="15" x14ac:dyDescent="0"/>
  <sheetData>
    <row r="1" spans="1:26">
      <c r="A1" s="2">
        <v>4</v>
      </c>
      <c r="B1" s="2">
        <v>1</v>
      </c>
      <c r="C1" s="2">
        <v>0</v>
      </c>
      <c r="D1" s="2">
        <v>0</v>
      </c>
      <c r="E1" s="2">
        <v>0</v>
      </c>
      <c r="F1" s="2">
        <v>1</v>
      </c>
      <c r="G1" s="2">
        <v>0</v>
      </c>
      <c r="H1" s="2">
        <v>0</v>
      </c>
      <c r="I1" s="2">
        <v>3</v>
      </c>
      <c r="J1" s="2">
        <v>2</v>
      </c>
      <c r="K1" s="2">
        <v>0</v>
      </c>
      <c r="L1" s="2">
        <v>0</v>
      </c>
      <c r="M1" s="2">
        <v>0</v>
      </c>
      <c r="N1" s="2">
        <v>1</v>
      </c>
      <c r="O1" s="2">
        <v>0</v>
      </c>
      <c r="P1" s="2">
        <v>0</v>
      </c>
      <c r="Q1" s="2">
        <v>1</v>
      </c>
      <c r="R1" s="2">
        <v>1</v>
      </c>
      <c r="S1" s="2">
        <v>0</v>
      </c>
      <c r="T1" s="2">
        <v>0</v>
      </c>
      <c r="U1" s="2">
        <v>1</v>
      </c>
      <c r="V1" s="2">
        <v>0</v>
      </c>
      <c r="W1" s="2">
        <v>0</v>
      </c>
      <c r="X1" s="2" t="s">
        <v>30</v>
      </c>
      <c r="Y1" s="2"/>
      <c r="Z1" s="2"/>
    </row>
    <row r="2" spans="1:26">
      <c r="A2" s="2">
        <v>5</v>
      </c>
      <c r="B2" s="2">
        <v>0</v>
      </c>
      <c r="C2" s="2">
        <v>0</v>
      </c>
      <c r="D2" s="2">
        <v>0</v>
      </c>
      <c r="E2" s="2">
        <v>0</v>
      </c>
      <c r="F2" s="2">
        <v>0</v>
      </c>
      <c r="G2" s="2">
        <v>0</v>
      </c>
      <c r="H2" s="2">
        <v>0</v>
      </c>
      <c r="I2" s="2">
        <v>0</v>
      </c>
      <c r="J2" s="2">
        <v>0</v>
      </c>
      <c r="K2" s="2" t="s">
        <v>29</v>
      </c>
      <c r="L2" s="2" t="s">
        <v>29</v>
      </c>
      <c r="M2" s="2" t="s">
        <v>29</v>
      </c>
      <c r="N2" s="2" t="s">
        <v>29</v>
      </c>
      <c r="O2" s="2" t="s">
        <v>29</v>
      </c>
      <c r="P2" s="2" t="s">
        <v>29</v>
      </c>
      <c r="Q2" s="2" t="s">
        <v>29</v>
      </c>
      <c r="R2" s="2" t="s">
        <v>29</v>
      </c>
      <c r="S2" s="2" t="s">
        <v>29</v>
      </c>
      <c r="T2" s="2" t="s">
        <v>29</v>
      </c>
      <c r="U2" s="2" t="s">
        <v>29</v>
      </c>
      <c r="V2" s="2" t="s">
        <v>29</v>
      </c>
      <c r="W2" s="2" t="s">
        <v>29</v>
      </c>
      <c r="X2" s="2" t="s">
        <v>30</v>
      </c>
      <c r="Y2" s="2"/>
      <c r="Z2" s="2"/>
    </row>
    <row r="3" spans="1:26">
      <c r="A3" s="2">
        <v>6</v>
      </c>
      <c r="B3" s="2">
        <v>0</v>
      </c>
      <c r="C3" s="2">
        <v>0</v>
      </c>
      <c r="D3" s="2">
        <v>0</v>
      </c>
      <c r="E3" s="2">
        <v>0</v>
      </c>
      <c r="F3" s="2">
        <v>0</v>
      </c>
      <c r="G3" s="2">
        <v>0</v>
      </c>
      <c r="H3" s="2">
        <v>0</v>
      </c>
      <c r="I3" s="2">
        <v>0</v>
      </c>
      <c r="J3" s="2">
        <v>0</v>
      </c>
      <c r="K3" s="2">
        <v>0</v>
      </c>
      <c r="L3" s="2">
        <v>0</v>
      </c>
      <c r="M3" s="2">
        <v>0</v>
      </c>
      <c r="N3" s="2">
        <v>4</v>
      </c>
      <c r="O3" s="2">
        <v>0</v>
      </c>
      <c r="P3" s="2" t="s">
        <v>29</v>
      </c>
      <c r="Q3" s="2" t="s">
        <v>29</v>
      </c>
      <c r="R3" s="2" t="s">
        <v>29</v>
      </c>
      <c r="S3" s="2">
        <v>0</v>
      </c>
      <c r="T3" s="2">
        <v>0</v>
      </c>
      <c r="U3" s="2">
        <v>2</v>
      </c>
      <c r="V3" s="2">
        <v>1</v>
      </c>
      <c r="W3" s="2">
        <v>0</v>
      </c>
      <c r="X3" s="2" t="s">
        <v>30</v>
      </c>
      <c r="Y3" s="2"/>
      <c r="Z3" s="2"/>
    </row>
    <row r="4" spans="1:26">
      <c r="A4" s="2">
        <v>8</v>
      </c>
      <c r="B4" s="2">
        <v>0</v>
      </c>
      <c r="C4" s="2">
        <v>0</v>
      </c>
      <c r="D4" s="2">
        <v>0</v>
      </c>
      <c r="E4" s="2">
        <v>0</v>
      </c>
      <c r="F4" s="2">
        <v>0</v>
      </c>
      <c r="G4" s="2">
        <v>0</v>
      </c>
      <c r="H4" s="2">
        <v>0</v>
      </c>
      <c r="I4" s="2">
        <v>1</v>
      </c>
      <c r="J4" s="2">
        <v>1</v>
      </c>
      <c r="K4" s="2">
        <v>0</v>
      </c>
      <c r="L4" s="2">
        <v>0</v>
      </c>
      <c r="M4" s="2">
        <v>0</v>
      </c>
      <c r="N4" s="2">
        <v>0</v>
      </c>
      <c r="O4" s="2">
        <v>0</v>
      </c>
      <c r="P4" s="2">
        <v>0</v>
      </c>
      <c r="Q4" s="2">
        <v>0</v>
      </c>
      <c r="R4" s="2">
        <v>0</v>
      </c>
      <c r="S4" s="2">
        <v>0</v>
      </c>
      <c r="T4" s="2" t="s">
        <v>29</v>
      </c>
      <c r="U4" s="2">
        <v>0</v>
      </c>
      <c r="V4" s="2" t="s">
        <v>29</v>
      </c>
      <c r="W4" s="2">
        <v>0</v>
      </c>
      <c r="X4" s="2" t="s">
        <v>30</v>
      </c>
      <c r="Y4" s="2"/>
      <c r="Z4" s="2"/>
    </row>
    <row r="5" spans="1:26">
      <c r="A5" s="2">
        <v>11</v>
      </c>
      <c r="B5" s="2">
        <v>0</v>
      </c>
      <c r="C5" s="2">
        <v>0</v>
      </c>
      <c r="D5" s="2">
        <v>0</v>
      </c>
      <c r="E5" s="2">
        <v>0</v>
      </c>
      <c r="F5" s="2">
        <v>0</v>
      </c>
      <c r="G5" s="2">
        <v>0</v>
      </c>
      <c r="H5" s="2">
        <v>0</v>
      </c>
      <c r="I5" s="2">
        <v>0</v>
      </c>
      <c r="J5" s="2">
        <v>0</v>
      </c>
      <c r="K5" s="2">
        <v>0</v>
      </c>
      <c r="L5" s="2">
        <v>0</v>
      </c>
      <c r="M5" s="2">
        <v>0</v>
      </c>
      <c r="N5" s="2">
        <v>1</v>
      </c>
      <c r="O5" s="2">
        <v>1</v>
      </c>
      <c r="P5" s="2">
        <v>1</v>
      </c>
      <c r="Q5" s="2">
        <v>2</v>
      </c>
      <c r="R5" s="2">
        <v>0</v>
      </c>
      <c r="S5" s="2">
        <v>0</v>
      </c>
      <c r="T5" s="2">
        <v>1</v>
      </c>
      <c r="U5" s="2">
        <v>0</v>
      </c>
      <c r="V5" s="2">
        <v>0</v>
      </c>
      <c r="W5" s="2">
        <v>0</v>
      </c>
      <c r="X5" s="2" t="s">
        <v>30</v>
      </c>
      <c r="Y5" s="2"/>
      <c r="Z5" s="2"/>
    </row>
    <row r="6" spans="1:26">
      <c r="A6" s="2">
        <v>12</v>
      </c>
      <c r="B6" s="2">
        <v>0</v>
      </c>
      <c r="C6" s="2">
        <v>0</v>
      </c>
      <c r="D6" s="2">
        <v>0</v>
      </c>
      <c r="E6" s="2">
        <v>0</v>
      </c>
      <c r="F6" s="2">
        <v>0</v>
      </c>
      <c r="G6" s="2">
        <v>0</v>
      </c>
      <c r="H6" s="2">
        <v>0</v>
      </c>
      <c r="I6" s="2">
        <v>0</v>
      </c>
      <c r="J6" s="2">
        <v>0</v>
      </c>
      <c r="K6" s="2">
        <v>0</v>
      </c>
      <c r="L6" s="2">
        <v>0</v>
      </c>
      <c r="M6" s="2">
        <v>0</v>
      </c>
      <c r="N6" s="2">
        <v>6</v>
      </c>
      <c r="O6" s="2">
        <v>4</v>
      </c>
      <c r="P6" s="2">
        <v>0</v>
      </c>
      <c r="Q6" s="2">
        <v>5</v>
      </c>
      <c r="R6" s="2">
        <v>0</v>
      </c>
      <c r="S6" s="2">
        <v>0</v>
      </c>
      <c r="T6" s="2">
        <v>0</v>
      </c>
      <c r="U6" s="2">
        <v>0</v>
      </c>
      <c r="V6" s="2">
        <v>0</v>
      </c>
      <c r="W6" s="2">
        <v>0</v>
      </c>
      <c r="X6" s="2" t="s">
        <v>30</v>
      </c>
      <c r="Y6" s="2"/>
      <c r="Z6" s="2"/>
    </row>
    <row r="7" spans="1:26">
      <c r="A7" s="2">
        <v>13</v>
      </c>
      <c r="B7" s="2">
        <v>0</v>
      </c>
      <c r="C7" s="2">
        <v>0</v>
      </c>
      <c r="D7" s="2">
        <v>1</v>
      </c>
      <c r="E7" s="2">
        <v>0</v>
      </c>
      <c r="F7" s="2">
        <v>1</v>
      </c>
      <c r="G7" s="2">
        <v>0</v>
      </c>
      <c r="H7" s="2">
        <v>0</v>
      </c>
      <c r="I7" s="2">
        <v>0</v>
      </c>
      <c r="J7" s="2">
        <v>0</v>
      </c>
      <c r="K7" s="2">
        <v>0</v>
      </c>
      <c r="L7" s="2">
        <v>0</v>
      </c>
      <c r="M7" s="2">
        <v>0</v>
      </c>
      <c r="N7" s="2">
        <v>5</v>
      </c>
      <c r="O7" s="2">
        <v>1</v>
      </c>
      <c r="P7" s="2">
        <v>0</v>
      </c>
      <c r="Q7" s="2">
        <v>0</v>
      </c>
      <c r="R7" s="2">
        <v>0</v>
      </c>
      <c r="S7" s="2">
        <v>0</v>
      </c>
      <c r="T7" s="2" t="s">
        <v>29</v>
      </c>
      <c r="U7" s="2" t="s">
        <v>29</v>
      </c>
      <c r="V7" s="2" t="s">
        <v>29</v>
      </c>
      <c r="W7" s="2" t="s">
        <v>29</v>
      </c>
      <c r="X7" s="2" t="s">
        <v>30</v>
      </c>
      <c r="Y7" s="2"/>
      <c r="Z7" s="2"/>
    </row>
    <row r="8" spans="1:26">
      <c r="A8" s="2">
        <v>14</v>
      </c>
      <c r="B8" s="2">
        <v>4</v>
      </c>
      <c r="C8" s="2">
        <v>0</v>
      </c>
      <c r="D8" s="2">
        <v>1</v>
      </c>
      <c r="E8" s="2">
        <v>0</v>
      </c>
      <c r="F8" s="2">
        <v>8</v>
      </c>
      <c r="G8" s="2">
        <v>1</v>
      </c>
      <c r="H8" s="2">
        <v>4</v>
      </c>
      <c r="I8" s="2">
        <v>1</v>
      </c>
      <c r="J8" s="2">
        <v>0</v>
      </c>
      <c r="K8" s="2">
        <v>0</v>
      </c>
      <c r="L8" s="2">
        <v>0</v>
      </c>
      <c r="M8" s="2">
        <v>0</v>
      </c>
      <c r="N8" s="2">
        <v>2</v>
      </c>
      <c r="O8" s="2" t="s">
        <v>29</v>
      </c>
      <c r="P8" s="2">
        <v>3</v>
      </c>
      <c r="Q8" s="2">
        <v>1</v>
      </c>
      <c r="R8" s="2">
        <v>0</v>
      </c>
      <c r="S8" s="2">
        <v>0</v>
      </c>
      <c r="T8" s="2">
        <v>0</v>
      </c>
      <c r="U8" s="2">
        <v>0</v>
      </c>
      <c r="V8" s="2">
        <v>1</v>
      </c>
      <c r="W8" s="2">
        <v>2</v>
      </c>
      <c r="X8" s="2" t="s">
        <v>30</v>
      </c>
      <c r="Y8" s="2"/>
      <c r="Z8" s="2"/>
    </row>
    <row r="9" spans="1:26">
      <c r="A9" s="2">
        <v>15</v>
      </c>
      <c r="B9" s="2">
        <v>0</v>
      </c>
      <c r="C9" s="2">
        <v>0</v>
      </c>
      <c r="D9" s="2">
        <v>0</v>
      </c>
      <c r="E9" s="2">
        <v>0</v>
      </c>
      <c r="F9" s="2">
        <v>0</v>
      </c>
      <c r="G9" s="2">
        <v>0</v>
      </c>
      <c r="H9" s="2">
        <v>1</v>
      </c>
      <c r="I9" s="2">
        <v>0</v>
      </c>
      <c r="J9" s="2">
        <v>0</v>
      </c>
      <c r="K9" s="2">
        <v>0</v>
      </c>
      <c r="L9" s="2">
        <v>0</v>
      </c>
      <c r="M9" s="2">
        <v>0</v>
      </c>
      <c r="N9" s="2" t="s">
        <v>29</v>
      </c>
      <c r="O9" s="2" t="s">
        <v>29</v>
      </c>
      <c r="P9" s="2">
        <v>0</v>
      </c>
      <c r="Q9" s="2" t="s">
        <v>29</v>
      </c>
      <c r="R9" s="2" t="s">
        <v>29</v>
      </c>
      <c r="S9" s="2">
        <v>0</v>
      </c>
      <c r="T9" s="2" t="s">
        <v>29</v>
      </c>
      <c r="U9" s="2" t="s">
        <v>29</v>
      </c>
      <c r="V9" s="2" t="s">
        <v>29</v>
      </c>
      <c r="W9" s="2" t="s">
        <v>29</v>
      </c>
      <c r="X9" s="2" t="s">
        <v>30</v>
      </c>
      <c r="Y9" s="2"/>
      <c r="Z9" s="2"/>
    </row>
    <row r="10" spans="1:26">
      <c r="A10" s="2">
        <v>16</v>
      </c>
      <c r="B10" s="2">
        <v>0</v>
      </c>
      <c r="C10" s="2">
        <v>0</v>
      </c>
      <c r="D10" s="2">
        <v>0</v>
      </c>
      <c r="E10" s="2">
        <v>0</v>
      </c>
      <c r="F10" s="2">
        <v>3</v>
      </c>
      <c r="G10" s="2">
        <v>0</v>
      </c>
      <c r="H10" s="2">
        <v>0</v>
      </c>
      <c r="I10" s="2">
        <v>0</v>
      </c>
      <c r="J10" s="2">
        <v>0</v>
      </c>
      <c r="K10" s="2">
        <v>0</v>
      </c>
      <c r="L10" s="2">
        <v>0</v>
      </c>
      <c r="M10" s="2">
        <v>0</v>
      </c>
      <c r="N10" s="2">
        <v>10</v>
      </c>
      <c r="O10" s="2">
        <v>1</v>
      </c>
      <c r="P10" s="2">
        <v>1</v>
      </c>
      <c r="Q10" s="2" t="s">
        <v>29</v>
      </c>
      <c r="R10" s="2" t="s">
        <v>29</v>
      </c>
      <c r="S10" s="2">
        <v>0</v>
      </c>
      <c r="T10" s="2">
        <v>2</v>
      </c>
      <c r="U10" s="2" t="s">
        <v>29</v>
      </c>
      <c r="V10" s="2">
        <v>0</v>
      </c>
      <c r="W10" s="2">
        <v>1</v>
      </c>
      <c r="X10" s="2" t="s">
        <v>30</v>
      </c>
      <c r="Y10" s="2"/>
      <c r="Z10" s="2"/>
    </row>
    <row r="11" spans="1:26">
      <c r="A11" s="2">
        <v>17</v>
      </c>
      <c r="B11" s="2">
        <v>0</v>
      </c>
      <c r="C11" s="2">
        <v>0</v>
      </c>
      <c r="D11" s="2">
        <v>1</v>
      </c>
      <c r="E11" s="2">
        <v>0</v>
      </c>
      <c r="F11" s="2">
        <v>2</v>
      </c>
      <c r="G11" s="2">
        <v>0</v>
      </c>
      <c r="H11" s="2">
        <v>0</v>
      </c>
      <c r="I11" s="2">
        <v>0</v>
      </c>
      <c r="J11" s="2">
        <v>0</v>
      </c>
      <c r="K11" s="2">
        <v>0</v>
      </c>
      <c r="L11" s="2">
        <v>0</v>
      </c>
      <c r="M11" s="2">
        <v>0</v>
      </c>
      <c r="N11" s="2">
        <v>12</v>
      </c>
      <c r="O11" s="2">
        <v>0</v>
      </c>
      <c r="P11" s="2">
        <v>0</v>
      </c>
      <c r="Q11" s="2">
        <v>0</v>
      </c>
      <c r="R11" s="2">
        <v>0</v>
      </c>
      <c r="S11" s="2">
        <v>0</v>
      </c>
      <c r="T11" s="2">
        <v>0</v>
      </c>
      <c r="U11" s="2">
        <v>3</v>
      </c>
      <c r="V11" s="2">
        <v>1</v>
      </c>
      <c r="W11" s="2" t="s">
        <v>29</v>
      </c>
      <c r="X11" s="2" t="s">
        <v>30</v>
      </c>
      <c r="Y11" s="2"/>
      <c r="Z11" s="2"/>
    </row>
    <row r="12" spans="1:26">
      <c r="A12" s="2">
        <v>19</v>
      </c>
      <c r="B12" s="2">
        <v>0</v>
      </c>
      <c r="C12" s="2">
        <v>0</v>
      </c>
      <c r="D12" s="2">
        <v>0</v>
      </c>
      <c r="E12" s="2">
        <v>0</v>
      </c>
      <c r="F12" s="2">
        <v>0</v>
      </c>
      <c r="G12" s="2">
        <v>0</v>
      </c>
      <c r="H12" s="2">
        <v>0</v>
      </c>
      <c r="I12" s="2">
        <v>0</v>
      </c>
      <c r="J12" s="2">
        <v>0</v>
      </c>
      <c r="K12" s="2">
        <v>0</v>
      </c>
      <c r="L12" s="2">
        <v>0</v>
      </c>
      <c r="M12" s="2">
        <v>0</v>
      </c>
      <c r="N12" s="2" t="s">
        <v>29</v>
      </c>
      <c r="O12" s="2" t="s">
        <v>29</v>
      </c>
      <c r="P12" s="2">
        <v>0</v>
      </c>
      <c r="Q12" s="2">
        <v>1</v>
      </c>
      <c r="R12" s="2" t="s">
        <v>29</v>
      </c>
      <c r="S12" s="2">
        <v>0</v>
      </c>
      <c r="T12" s="2" t="s">
        <v>29</v>
      </c>
      <c r="U12" s="2" t="s">
        <v>29</v>
      </c>
      <c r="V12" s="2" t="s">
        <v>29</v>
      </c>
      <c r="W12" s="2" t="s">
        <v>29</v>
      </c>
      <c r="X12" s="2" t="s">
        <v>30</v>
      </c>
      <c r="Y12" s="2"/>
      <c r="Z12" s="2"/>
    </row>
    <row r="13" spans="1:26">
      <c r="A13" s="2">
        <v>20</v>
      </c>
      <c r="B13" s="2">
        <v>0</v>
      </c>
      <c r="C13" s="2">
        <v>0</v>
      </c>
      <c r="D13" s="2">
        <v>0</v>
      </c>
      <c r="E13" s="2">
        <v>0</v>
      </c>
      <c r="F13" s="2">
        <v>0</v>
      </c>
      <c r="G13" s="2">
        <v>0</v>
      </c>
      <c r="H13" s="2">
        <v>0</v>
      </c>
      <c r="I13" s="2">
        <v>0</v>
      </c>
      <c r="J13" s="2">
        <v>1</v>
      </c>
      <c r="K13" s="2">
        <v>0</v>
      </c>
      <c r="L13" s="2">
        <v>0</v>
      </c>
      <c r="M13" s="2">
        <v>0</v>
      </c>
      <c r="N13" s="2" t="s">
        <v>29</v>
      </c>
      <c r="O13" s="2">
        <v>0</v>
      </c>
      <c r="P13" s="2">
        <v>0</v>
      </c>
      <c r="Q13" s="2">
        <v>1</v>
      </c>
      <c r="R13" s="2">
        <v>2</v>
      </c>
      <c r="S13" s="2">
        <v>0</v>
      </c>
      <c r="T13" s="2">
        <v>0</v>
      </c>
      <c r="U13" s="2">
        <v>1</v>
      </c>
      <c r="V13" s="2">
        <v>0</v>
      </c>
      <c r="W13" s="2">
        <v>0</v>
      </c>
      <c r="X13" s="2" t="s">
        <v>30</v>
      </c>
      <c r="Y13" s="2"/>
      <c r="Z13" s="2"/>
    </row>
    <row r="14" spans="1:26">
      <c r="A14" s="2">
        <v>22</v>
      </c>
      <c r="B14" s="2">
        <v>0</v>
      </c>
      <c r="C14" s="2">
        <v>0</v>
      </c>
      <c r="D14" s="2">
        <v>2</v>
      </c>
      <c r="E14" s="2">
        <v>0</v>
      </c>
      <c r="F14" s="2">
        <v>1</v>
      </c>
      <c r="G14" s="2">
        <v>0</v>
      </c>
      <c r="H14" s="2">
        <v>0</v>
      </c>
      <c r="I14" s="2">
        <v>1</v>
      </c>
      <c r="J14" s="2">
        <v>0</v>
      </c>
      <c r="K14" s="2">
        <v>0</v>
      </c>
      <c r="L14" s="2">
        <v>0</v>
      </c>
      <c r="M14" s="2">
        <v>0</v>
      </c>
      <c r="N14" s="2">
        <v>7</v>
      </c>
      <c r="O14" s="2">
        <v>2</v>
      </c>
      <c r="P14" s="2">
        <v>0</v>
      </c>
      <c r="Q14" s="2">
        <v>1</v>
      </c>
      <c r="R14" s="2">
        <v>0</v>
      </c>
      <c r="S14" s="2">
        <v>0</v>
      </c>
      <c r="T14" s="2">
        <v>1</v>
      </c>
      <c r="U14" s="2">
        <v>1</v>
      </c>
      <c r="V14" s="2">
        <v>1</v>
      </c>
      <c r="W14" s="2">
        <v>1</v>
      </c>
      <c r="X14" s="2" t="s">
        <v>30</v>
      </c>
      <c r="Y14" s="2"/>
      <c r="Z14" s="2"/>
    </row>
    <row r="15" spans="1:26">
      <c r="A15" s="2">
        <v>23</v>
      </c>
      <c r="B15" s="2">
        <v>0</v>
      </c>
      <c r="C15" s="2">
        <v>0</v>
      </c>
      <c r="D15" s="2">
        <v>0</v>
      </c>
      <c r="E15" s="2">
        <v>0</v>
      </c>
      <c r="F15" s="2">
        <v>0</v>
      </c>
      <c r="G15" s="2">
        <v>0</v>
      </c>
      <c r="H15" s="2">
        <v>0</v>
      </c>
      <c r="I15" s="2">
        <v>0</v>
      </c>
      <c r="J15" s="2">
        <v>0</v>
      </c>
      <c r="K15" s="2">
        <v>0</v>
      </c>
      <c r="L15" s="2">
        <v>0</v>
      </c>
      <c r="M15" s="2">
        <v>0</v>
      </c>
      <c r="N15" s="2">
        <v>1</v>
      </c>
      <c r="O15" s="2">
        <v>2</v>
      </c>
      <c r="P15" s="2">
        <v>2</v>
      </c>
      <c r="Q15" s="2">
        <v>0</v>
      </c>
      <c r="R15" s="2">
        <v>0</v>
      </c>
      <c r="S15" s="2">
        <v>0</v>
      </c>
      <c r="T15" s="2">
        <v>0</v>
      </c>
      <c r="U15" s="2">
        <v>4</v>
      </c>
      <c r="V15" s="2">
        <v>0</v>
      </c>
      <c r="W15" s="2" t="s">
        <v>29</v>
      </c>
      <c r="X15" s="2" t="s">
        <v>30</v>
      </c>
      <c r="Y15" s="2"/>
      <c r="Z15" s="2"/>
    </row>
    <row r="16" spans="1:26">
      <c r="A16" s="2">
        <v>24</v>
      </c>
      <c r="B16" s="2">
        <v>1</v>
      </c>
      <c r="C16" s="2">
        <v>0</v>
      </c>
      <c r="D16" s="2">
        <v>0</v>
      </c>
      <c r="E16" s="2">
        <v>0</v>
      </c>
      <c r="F16" s="2">
        <v>0</v>
      </c>
      <c r="G16" s="2">
        <v>0</v>
      </c>
      <c r="H16" s="2">
        <v>0</v>
      </c>
      <c r="I16" s="2">
        <v>0</v>
      </c>
      <c r="J16" s="2">
        <v>0</v>
      </c>
      <c r="K16" s="2">
        <v>0</v>
      </c>
      <c r="L16" s="2">
        <v>0</v>
      </c>
      <c r="M16" s="2">
        <v>0</v>
      </c>
      <c r="N16" s="2">
        <v>2</v>
      </c>
      <c r="O16" s="2">
        <v>3</v>
      </c>
      <c r="P16" s="2">
        <v>1</v>
      </c>
      <c r="Q16" s="2">
        <v>1</v>
      </c>
      <c r="R16" s="2">
        <v>3</v>
      </c>
      <c r="S16" s="2">
        <v>0</v>
      </c>
      <c r="T16" s="2">
        <v>0</v>
      </c>
      <c r="U16" s="2">
        <v>0</v>
      </c>
      <c r="V16" s="2" t="s">
        <v>29</v>
      </c>
      <c r="W16" s="2" t="s">
        <v>29</v>
      </c>
      <c r="X16" s="2" t="s">
        <v>30</v>
      </c>
      <c r="Y16" s="2"/>
      <c r="Z16" s="2"/>
    </row>
    <row r="17" spans="1:26">
      <c r="A17" s="2">
        <v>27</v>
      </c>
      <c r="B17" s="2">
        <v>0</v>
      </c>
      <c r="C17" s="2">
        <v>0</v>
      </c>
      <c r="D17" s="2" t="s">
        <v>29</v>
      </c>
      <c r="E17" s="2">
        <v>0</v>
      </c>
      <c r="F17" s="2">
        <v>0</v>
      </c>
      <c r="G17" s="2">
        <v>0</v>
      </c>
      <c r="H17" s="2">
        <v>0</v>
      </c>
      <c r="I17" s="2">
        <v>0</v>
      </c>
      <c r="J17" s="2">
        <v>0</v>
      </c>
      <c r="K17" s="2">
        <v>0</v>
      </c>
      <c r="L17" s="2">
        <v>0</v>
      </c>
      <c r="M17" s="2">
        <v>0</v>
      </c>
      <c r="N17" s="2" t="s">
        <v>29</v>
      </c>
      <c r="O17" s="2">
        <v>0</v>
      </c>
      <c r="P17" s="2">
        <v>0</v>
      </c>
      <c r="Q17" s="2">
        <v>2</v>
      </c>
      <c r="R17" s="2">
        <v>1</v>
      </c>
      <c r="S17" s="2">
        <v>0</v>
      </c>
      <c r="T17" s="2">
        <v>0</v>
      </c>
      <c r="U17" s="2">
        <v>0</v>
      </c>
      <c r="V17" s="2" t="s">
        <v>29</v>
      </c>
      <c r="W17" s="2">
        <v>0</v>
      </c>
      <c r="X17" s="2" t="s">
        <v>30</v>
      </c>
      <c r="Y17" s="2"/>
      <c r="Z17" s="2"/>
    </row>
    <row r="18" spans="1:26">
      <c r="A18" s="2">
        <v>28</v>
      </c>
      <c r="B18" s="2" t="s">
        <v>29</v>
      </c>
      <c r="C18" s="2" t="s">
        <v>29</v>
      </c>
      <c r="D18" s="2" t="s">
        <v>29</v>
      </c>
      <c r="E18" s="2" t="s">
        <v>29</v>
      </c>
      <c r="F18" s="2" t="s">
        <v>29</v>
      </c>
      <c r="G18" s="2" t="s">
        <v>29</v>
      </c>
      <c r="H18" s="2" t="s">
        <v>29</v>
      </c>
      <c r="I18" s="2" t="s">
        <v>29</v>
      </c>
      <c r="J18" s="2" t="s">
        <v>29</v>
      </c>
      <c r="K18" s="2">
        <v>0</v>
      </c>
      <c r="L18" s="2" t="s">
        <v>29</v>
      </c>
      <c r="M18" s="2" t="s">
        <v>29</v>
      </c>
      <c r="N18" s="2" t="s">
        <v>29</v>
      </c>
      <c r="O18" s="2" t="s">
        <v>29</v>
      </c>
      <c r="P18" s="2" t="s">
        <v>29</v>
      </c>
      <c r="Q18" s="2" t="s">
        <v>29</v>
      </c>
      <c r="R18" s="2" t="s">
        <v>29</v>
      </c>
      <c r="S18" s="2" t="s">
        <v>29</v>
      </c>
      <c r="T18" s="2" t="s">
        <v>29</v>
      </c>
      <c r="U18" s="2" t="s">
        <v>29</v>
      </c>
      <c r="V18" s="2" t="s">
        <v>29</v>
      </c>
      <c r="W18" s="2" t="s">
        <v>29</v>
      </c>
      <c r="X18" s="2" t="s">
        <v>30</v>
      </c>
      <c r="Y18" s="2"/>
      <c r="Z18" s="2"/>
    </row>
    <row r="19" spans="1:26">
      <c r="A19" s="2">
        <v>30</v>
      </c>
      <c r="B19" s="2">
        <v>0</v>
      </c>
      <c r="C19" s="2">
        <v>0</v>
      </c>
      <c r="D19" s="2">
        <v>0</v>
      </c>
      <c r="E19" s="2">
        <v>0</v>
      </c>
      <c r="F19" s="2">
        <v>0</v>
      </c>
      <c r="G19" s="2">
        <v>0</v>
      </c>
      <c r="H19" s="2">
        <v>0</v>
      </c>
      <c r="I19" s="2">
        <v>4</v>
      </c>
      <c r="J19" s="2">
        <v>0</v>
      </c>
      <c r="K19" s="2">
        <v>0</v>
      </c>
      <c r="L19" s="2">
        <v>0</v>
      </c>
      <c r="M19" s="2">
        <v>0</v>
      </c>
      <c r="N19" s="2">
        <v>0</v>
      </c>
      <c r="O19" s="2">
        <v>1</v>
      </c>
      <c r="P19" s="2">
        <v>0</v>
      </c>
      <c r="Q19" s="2">
        <v>0</v>
      </c>
      <c r="R19" s="2">
        <v>5</v>
      </c>
      <c r="S19" s="2">
        <v>0</v>
      </c>
      <c r="T19" s="2">
        <v>1</v>
      </c>
      <c r="U19" s="2">
        <v>1</v>
      </c>
      <c r="V19" s="2">
        <v>0</v>
      </c>
      <c r="W19" s="2">
        <v>2</v>
      </c>
      <c r="X19" s="2" t="s">
        <v>30</v>
      </c>
      <c r="Y19" s="2"/>
      <c r="Z19" s="2"/>
    </row>
    <row r="20" spans="1:26">
      <c r="A20" s="2">
        <v>32</v>
      </c>
      <c r="B20" s="2">
        <v>0</v>
      </c>
      <c r="C20" s="2">
        <v>0</v>
      </c>
      <c r="D20" s="2">
        <v>0</v>
      </c>
      <c r="E20" s="2">
        <v>0</v>
      </c>
      <c r="F20" s="2">
        <v>0</v>
      </c>
      <c r="G20" s="2">
        <v>0</v>
      </c>
      <c r="H20" s="2">
        <v>1</v>
      </c>
      <c r="I20" s="2">
        <v>0</v>
      </c>
      <c r="J20" s="2">
        <v>0</v>
      </c>
      <c r="K20" s="2">
        <v>0</v>
      </c>
      <c r="L20" s="2">
        <v>0</v>
      </c>
      <c r="M20" s="2">
        <v>0</v>
      </c>
      <c r="N20" s="2">
        <v>4</v>
      </c>
      <c r="O20" s="2">
        <v>0</v>
      </c>
      <c r="P20" s="2">
        <v>0</v>
      </c>
      <c r="Q20" s="2">
        <v>0</v>
      </c>
      <c r="R20" s="2">
        <v>0</v>
      </c>
      <c r="S20" s="2">
        <v>0</v>
      </c>
      <c r="T20" s="2" t="s">
        <v>29</v>
      </c>
      <c r="U20" s="2">
        <v>1</v>
      </c>
      <c r="V20" s="2" t="s">
        <v>29</v>
      </c>
      <c r="W20" s="2">
        <v>0</v>
      </c>
      <c r="X20" s="2" t="s">
        <v>30</v>
      </c>
      <c r="Y20" s="2"/>
      <c r="Z20" s="2"/>
    </row>
    <row r="21" spans="1:26">
      <c r="A21" s="2">
        <v>33</v>
      </c>
      <c r="B21" s="2">
        <v>0</v>
      </c>
      <c r="C21" s="2" t="s">
        <v>29</v>
      </c>
      <c r="D21" s="2">
        <v>1</v>
      </c>
      <c r="E21" s="2">
        <v>0</v>
      </c>
      <c r="F21" s="2">
        <v>1</v>
      </c>
      <c r="G21" s="2">
        <v>0</v>
      </c>
      <c r="H21" s="2">
        <v>7</v>
      </c>
      <c r="I21" s="2">
        <v>17</v>
      </c>
      <c r="J21" s="2">
        <v>0</v>
      </c>
      <c r="K21" s="2">
        <v>0</v>
      </c>
      <c r="L21" s="2">
        <v>0</v>
      </c>
      <c r="M21" s="2">
        <v>0</v>
      </c>
      <c r="N21" s="2">
        <v>0</v>
      </c>
      <c r="O21" s="2">
        <v>0</v>
      </c>
      <c r="P21" s="2">
        <v>8</v>
      </c>
      <c r="Q21" s="2">
        <v>0</v>
      </c>
      <c r="R21" s="2">
        <v>0</v>
      </c>
      <c r="S21" s="2">
        <v>0</v>
      </c>
      <c r="T21" s="2" t="s">
        <v>29</v>
      </c>
      <c r="U21" s="2">
        <v>0</v>
      </c>
      <c r="V21" s="2" t="s">
        <v>29</v>
      </c>
      <c r="W21" s="2" t="s">
        <v>29</v>
      </c>
      <c r="X21" s="2" t="s">
        <v>30</v>
      </c>
      <c r="Y21" s="2"/>
      <c r="Z21" s="2"/>
    </row>
    <row r="22" spans="1:26">
      <c r="A22" s="2">
        <v>36</v>
      </c>
      <c r="B22" s="2">
        <v>0</v>
      </c>
      <c r="C22" s="2">
        <v>0</v>
      </c>
      <c r="D22" s="2">
        <v>1</v>
      </c>
      <c r="E22" s="2">
        <v>0</v>
      </c>
      <c r="F22" s="2">
        <v>1</v>
      </c>
      <c r="G22" s="2">
        <v>0</v>
      </c>
      <c r="H22" s="2">
        <v>0</v>
      </c>
      <c r="I22" s="2">
        <v>0</v>
      </c>
      <c r="J22" s="2">
        <v>0</v>
      </c>
      <c r="K22" s="2">
        <v>0</v>
      </c>
      <c r="L22" s="2">
        <v>0</v>
      </c>
      <c r="M22" s="2">
        <v>0</v>
      </c>
      <c r="N22" s="2">
        <v>0</v>
      </c>
      <c r="O22" s="2">
        <v>1</v>
      </c>
      <c r="P22" s="2">
        <v>0</v>
      </c>
      <c r="Q22" s="2">
        <v>0</v>
      </c>
      <c r="R22" s="2">
        <v>0</v>
      </c>
      <c r="S22" s="2">
        <v>0</v>
      </c>
      <c r="T22" s="2" t="s">
        <v>29</v>
      </c>
      <c r="U22" s="2">
        <v>0</v>
      </c>
      <c r="V22" s="2">
        <v>0</v>
      </c>
      <c r="W22" s="2" t="s">
        <v>29</v>
      </c>
      <c r="X22" s="2" t="s">
        <v>30</v>
      </c>
      <c r="Y22" s="2"/>
      <c r="Z22" s="2"/>
    </row>
    <row r="23" spans="1:26">
      <c r="A23" s="2">
        <v>38</v>
      </c>
      <c r="B23" s="2">
        <v>0</v>
      </c>
      <c r="C23" s="2">
        <v>0</v>
      </c>
      <c r="D23" s="2">
        <v>0</v>
      </c>
      <c r="E23" s="2">
        <v>0</v>
      </c>
      <c r="F23" s="2">
        <v>0</v>
      </c>
      <c r="G23" s="2">
        <v>0</v>
      </c>
      <c r="H23" s="2">
        <v>0</v>
      </c>
      <c r="I23" s="2">
        <v>0</v>
      </c>
      <c r="J23" s="2">
        <v>0</v>
      </c>
      <c r="K23" s="2">
        <v>0</v>
      </c>
      <c r="L23" s="2">
        <v>0</v>
      </c>
      <c r="M23" s="2">
        <v>0</v>
      </c>
      <c r="N23" s="2">
        <v>1</v>
      </c>
      <c r="O23" s="2">
        <v>0</v>
      </c>
      <c r="P23" s="2">
        <v>3</v>
      </c>
      <c r="Q23" s="2">
        <v>1</v>
      </c>
      <c r="R23" s="2">
        <v>0</v>
      </c>
      <c r="S23" s="2">
        <v>0</v>
      </c>
      <c r="T23" s="2">
        <v>0</v>
      </c>
      <c r="U23" s="2">
        <v>4</v>
      </c>
      <c r="V23" s="2">
        <v>0</v>
      </c>
      <c r="W23" s="2">
        <v>0</v>
      </c>
      <c r="X23" s="2" t="s">
        <v>30</v>
      </c>
      <c r="Y23" s="2"/>
      <c r="Z23" s="2"/>
    </row>
    <row r="24" spans="1:26">
      <c r="A24" s="2">
        <v>42</v>
      </c>
      <c r="B24" s="2">
        <v>0</v>
      </c>
      <c r="C24" s="2">
        <v>0</v>
      </c>
      <c r="D24" s="2">
        <v>1</v>
      </c>
      <c r="E24" s="2">
        <v>0</v>
      </c>
      <c r="F24" s="2">
        <v>1</v>
      </c>
      <c r="G24" s="2">
        <v>0</v>
      </c>
      <c r="H24" s="2">
        <v>0</v>
      </c>
      <c r="I24" s="2">
        <v>0</v>
      </c>
      <c r="J24" s="2">
        <v>1</v>
      </c>
      <c r="K24" s="2">
        <v>0</v>
      </c>
      <c r="L24" s="2">
        <v>0</v>
      </c>
      <c r="M24" s="2">
        <v>0</v>
      </c>
      <c r="N24" s="2">
        <v>1</v>
      </c>
      <c r="O24" s="2">
        <v>0</v>
      </c>
      <c r="P24" s="2" t="s">
        <v>29</v>
      </c>
      <c r="Q24" s="2">
        <v>0</v>
      </c>
      <c r="R24" s="2">
        <v>0</v>
      </c>
      <c r="S24" s="2">
        <v>0</v>
      </c>
      <c r="T24" s="2" t="s">
        <v>29</v>
      </c>
      <c r="U24" s="2" t="s">
        <v>29</v>
      </c>
      <c r="V24" s="2" t="s">
        <v>29</v>
      </c>
      <c r="W24" s="2">
        <v>0</v>
      </c>
      <c r="X24" s="2" t="s">
        <v>30</v>
      </c>
      <c r="Y24" s="2"/>
      <c r="Z24" s="2"/>
    </row>
    <row r="25" spans="1:26">
      <c r="A25" s="2">
        <v>43</v>
      </c>
      <c r="B25" s="2">
        <v>0</v>
      </c>
      <c r="C25" s="2">
        <v>1</v>
      </c>
      <c r="D25" s="2">
        <v>1</v>
      </c>
      <c r="E25" s="2">
        <v>0</v>
      </c>
      <c r="F25" s="2">
        <v>0</v>
      </c>
      <c r="G25" s="2">
        <v>0</v>
      </c>
      <c r="H25" s="2">
        <v>0</v>
      </c>
      <c r="I25" s="2">
        <v>0</v>
      </c>
      <c r="J25" s="2">
        <v>0</v>
      </c>
      <c r="K25" s="2">
        <v>0</v>
      </c>
      <c r="L25" s="2">
        <v>0</v>
      </c>
      <c r="M25" s="2">
        <v>0</v>
      </c>
      <c r="N25" s="2">
        <v>1</v>
      </c>
      <c r="O25" s="2">
        <v>0</v>
      </c>
      <c r="P25" s="2">
        <v>3</v>
      </c>
      <c r="Q25" s="2">
        <v>0</v>
      </c>
      <c r="R25" s="2">
        <v>0</v>
      </c>
      <c r="S25" s="2">
        <v>0</v>
      </c>
      <c r="T25" s="2">
        <v>1</v>
      </c>
      <c r="U25" s="2">
        <v>0</v>
      </c>
      <c r="V25" s="2">
        <v>2</v>
      </c>
      <c r="W25" s="2">
        <v>0</v>
      </c>
      <c r="X25" s="2" t="s">
        <v>30</v>
      </c>
      <c r="Y25" s="2"/>
      <c r="Z25" s="2"/>
    </row>
    <row r="26" spans="1:26">
      <c r="A26" s="2">
        <v>45</v>
      </c>
      <c r="B26" s="2">
        <v>0</v>
      </c>
      <c r="C26" s="2">
        <v>0</v>
      </c>
      <c r="D26" s="2">
        <v>0</v>
      </c>
      <c r="E26" s="2">
        <v>0</v>
      </c>
      <c r="F26" s="2">
        <v>2</v>
      </c>
      <c r="G26" s="2">
        <v>0</v>
      </c>
      <c r="H26" s="2">
        <v>0</v>
      </c>
      <c r="I26" s="2">
        <v>0</v>
      </c>
      <c r="J26" s="2">
        <v>0</v>
      </c>
      <c r="K26" s="2">
        <v>0</v>
      </c>
      <c r="L26" s="2">
        <v>0</v>
      </c>
      <c r="M26" s="2">
        <v>0</v>
      </c>
      <c r="N26" s="2">
        <v>0</v>
      </c>
      <c r="O26" s="2">
        <v>1</v>
      </c>
      <c r="P26" s="2">
        <v>0</v>
      </c>
      <c r="Q26" s="2">
        <v>0</v>
      </c>
      <c r="R26" s="2">
        <v>0</v>
      </c>
      <c r="S26" s="2">
        <v>0</v>
      </c>
      <c r="T26" s="2">
        <v>0</v>
      </c>
      <c r="U26" s="2">
        <v>0</v>
      </c>
      <c r="V26" s="2" t="s">
        <v>29</v>
      </c>
      <c r="W26" s="2" t="s">
        <v>29</v>
      </c>
      <c r="X26" s="2" t="s">
        <v>30</v>
      </c>
      <c r="Y26" s="2"/>
      <c r="Z26" s="2"/>
    </row>
    <row r="27" spans="1:26">
      <c r="A27" s="2">
        <v>47</v>
      </c>
      <c r="B27" s="2">
        <v>0</v>
      </c>
      <c r="C27" s="2">
        <v>0</v>
      </c>
      <c r="D27" s="2">
        <v>0</v>
      </c>
      <c r="E27" s="2">
        <v>0</v>
      </c>
      <c r="F27" s="2">
        <v>1</v>
      </c>
      <c r="G27" s="2">
        <v>0</v>
      </c>
      <c r="H27" s="2">
        <v>0</v>
      </c>
      <c r="I27" s="2">
        <v>0</v>
      </c>
      <c r="J27" s="2">
        <v>0</v>
      </c>
      <c r="K27" s="2">
        <v>0</v>
      </c>
      <c r="L27" s="2">
        <v>0</v>
      </c>
      <c r="M27" s="2">
        <v>0</v>
      </c>
      <c r="N27" s="2">
        <v>5</v>
      </c>
      <c r="O27" s="2">
        <v>0</v>
      </c>
      <c r="P27" s="2">
        <v>0</v>
      </c>
      <c r="Q27" s="2">
        <v>0</v>
      </c>
      <c r="R27" s="2">
        <v>0</v>
      </c>
      <c r="S27" s="2">
        <v>0</v>
      </c>
      <c r="T27" s="2">
        <v>0</v>
      </c>
      <c r="U27" s="2" t="s">
        <v>29</v>
      </c>
      <c r="V27" s="2" t="s">
        <v>29</v>
      </c>
      <c r="W27" s="2" t="s">
        <v>29</v>
      </c>
      <c r="X27" s="2" t="s">
        <v>30</v>
      </c>
      <c r="Y27" s="2"/>
      <c r="Z27" s="2"/>
    </row>
    <row r="28" spans="1:26">
      <c r="A28" s="2">
        <v>48</v>
      </c>
      <c r="B28" s="2">
        <v>0</v>
      </c>
      <c r="C28" s="2">
        <v>0</v>
      </c>
      <c r="D28" s="2">
        <v>0</v>
      </c>
      <c r="E28" s="2">
        <v>0</v>
      </c>
      <c r="F28" s="2">
        <v>0</v>
      </c>
      <c r="G28" s="2">
        <v>0</v>
      </c>
      <c r="H28" s="2">
        <v>0</v>
      </c>
      <c r="I28" s="2">
        <v>0</v>
      </c>
      <c r="J28" s="2">
        <v>0</v>
      </c>
      <c r="K28" s="2">
        <v>0</v>
      </c>
      <c r="L28" s="2">
        <v>0</v>
      </c>
      <c r="M28" s="2">
        <v>0</v>
      </c>
      <c r="N28" s="2">
        <v>0</v>
      </c>
      <c r="O28" s="2">
        <v>0</v>
      </c>
      <c r="P28" s="2">
        <v>0</v>
      </c>
      <c r="Q28" s="2">
        <v>0</v>
      </c>
      <c r="R28" s="2">
        <v>0</v>
      </c>
      <c r="S28" s="2">
        <v>0</v>
      </c>
      <c r="T28" s="2">
        <v>1</v>
      </c>
      <c r="U28" s="2">
        <v>3</v>
      </c>
      <c r="V28" s="2">
        <v>0</v>
      </c>
      <c r="W28" s="2">
        <v>1</v>
      </c>
      <c r="X28" s="2" t="s">
        <v>30</v>
      </c>
      <c r="Y28" s="2"/>
      <c r="Z28" s="2"/>
    </row>
    <row r="29" spans="1:26">
      <c r="A29" s="2">
        <v>49</v>
      </c>
      <c r="B29" s="2">
        <v>0</v>
      </c>
      <c r="C29" s="2">
        <v>0</v>
      </c>
      <c r="D29" s="2">
        <v>3</v>
      </c>
      <c r="E29" s="2">
        <v>0</v>
      </c>
      <c r="F29" s="2">
        <v>1</v>
      </c>
      <c r="G29" s="2">
        <v>0</v>
      </c>
      <c r="H29" s="2">
        <v>0</v>
      </c>
      <c r="I29" s="2">
        <v>0</v>
      </c>
      <c r="J29" s="2">
        <v>1</v>
      </c>
      <c r="K29" s="2">
        <v>0</v>
      </c>
      <c r="L29" s="2">
        <v>0</v>
      </c>
      <c r="M29" s="2">
        <v>0</v>
      </c>
      <c r="N29" s="2">
        <v>0</v>
      </c>
      <c r="O29" s="2">
        <v>0</v>
      </c>
      <c r="P29" s="2">
        <v>0</v>
      </c>
      <c r="Q29" s="2">
        <v>0</v>
      </c>
      <c r="R29" s="2">
        <v>0</v>
      </c>
      <c r="S29" s="2">
        <v>0</v>
      </c>
      <c r="T29" s="2">
        <v>1</v>
      </c>
      <c r="U29" s="2">
        <v>1</v>
      </c>
      <c r="V29" s="2">
        <v>0</v>
      </c>
      <c r="W29" s="2">
        <v>0</v>
      </c>
      <c r="X29" s="2" t="s">
        <v>30</v>
      </c>
      <c r="Y29" s="2"/>
      <c r="Z29" s="2"/>
    </row>
    <row r="30" spans="1:26">
      <c r="A30" s="2">
        <v>52</v>
      </c>
      <c r="B30" s="2">
        <v>0</v>
      </c>
      <c r="C30" s="2">
        <v>0</v>
      </c>
      <c r="D30" s="2">
        <v>0</v>
      </c>
      <c r="E30" s="2">
        <v>0</v>
      </c>
      <c r="F30" s="2">
        <v>3</v>
      </c>
      <c r="G30" s="2">
        <v>0</v>
      </c>
      <c r="H30" s="2">
        <v>0</v>
      </c>
      <c r="I30" s="2">
        <v>0</v>
      </c>
      <c r="J30" s="2">
        <v>0</v>
      </c>
      <c r="K30" s="2">
        <v>0</v>
      </c>
      <c r="L30" s="2">
        <v>0</v>
      </c>
      <c r="M30" s="2">
        <v>0</v>
      </c>
      <c r="N30" s="2">
        <v>6</v>
      </c>
      <c r="O30" s="2">
        <v>0</v>
      </c>
      <c r="P30" s="2">
        <v>0</v>
      </c>
      <c r="Q30" s="2">
        <v>0</v>
      </c>
      <c r="R30" s="2">
        <v>0</v>
      </c>
      <c r="S30" s="2">
        <v>0</v>
      </c>
      <c r="T30" s="2">
        <v>0</v>
      </c>
      <c r="U30" s="2">
        <v>0</v>
      </c>
      <c r="V30" s="2">
        <v>0</v>
      </c>
      <c r="W30" s="2">
        <v>0</v>
      </c>
      <c r="X30" s="2" t="s">
        <v>30</v>
      </c>
      <c r="Y30" s="2"/>
      <c r="Z30" s="2"/>
    </row>
    <row r="31" spans="1:26">
      <c r="A31" s="2">
        <v>54</v>
      </c>
      <c r="B31" s="2">
        <v>0</v>
      </c>
      <c r="C31" s="2">
        <v>0</v>
      </c>
      <c r="D31" s="2">
        <v>4</v>
      </c>
      <c r="E31" s="2">
        <v>1</v>
      </c>
      <c r="F31" s="2">
        <v>3</v>
      </c>
      <c r="G31" s="2">
        <v>0</v>
      </c>
      <c r="H31" s="2">
        <v>0</v>
      </c>
      <c r="I31" s="2">
        <v>1</v>
      </c>
      <c r="J31" s="2">
        <v>2</v>
      </c>
      <c r="K31" s="2">
        <v>0</v>
      </c>
      <c r="L31" s="2">
        <v>0</v>
      </c>
      <c r="M31" s="2">
        <v>0</v>
      </c>
      <c r="N31" s="2">
        <v>1</v>
      </c>
      <c r="O31" s="2">
        <v>2</v>
      </c>
      <c r="P31" s="2">
        <v>22</v>
      </c>
      <c r="Q31" s="2">
        <v>0</v>
      </c>
      <c r="R31" s="2">
        <v>2</v>
      </c>
      <c r="S31" s="2">
        <v>0</v>
      </c>
      <c r="T31" s="2">
        <v>0</v>
      </c>
      <c r="U31" s="2">
        <v>3</v>
      </c>
      <c r="V31" s="2">
        <v>0</v>
      </c>
      <c r="W31" s="2">
        <v>7</v>
      </c>
      <c r="X31" s="2" t="s">
        <v>30</v>
      </c>
      <c r="Y31" s="2"/>
      <c r="Z31" s="2"/>
    </row>
    <row r="32" spans="1:26">
      <c r="A32" s="2">
        <v>55</v>
      </c>
      <c r="B32" s="2">
        <v>0</v>
      </c>
      <c r="C32" s="2">
        <v>0</v>
      </c>
      <c r="D32" s="2">
        <v>1</v>
      </c>
      <c r="E32" s="2">
        <v>0</v>
      </c>
      <c r="F32" s="2">
        <v>1</v>
      </c>
      <c r="G32" s="2">
        <v>0</v>
      </c>
      <c r="H32" s="2">
        <v>0</v>
      </c>
      <c r="I32" s="2">
        <v>0</v>
      </c>
      <c r="J32" s="2">
        <v>1</v>
      </c>
      <c r="K32" s="2">
        <v>0</v>
      </c>
      <c r="L32" s="2">
        <v>0</v>
      </c>
      <c r="M32" s="2">
        <v>0</v>
      </c>
      <c r="N32" s="2">
        <v>1</v>
      </c>
      <c r="O32" s="2">
        <v>0</v>
      </c>
      <c r="P32" s="2">
        <v>0</v>
      </c>
      <c r="Q32" s="2">
        <v>0</v>
      </c>
      <c r="R32" s="2">
        <v>0</v>
      </c>
      <c r="S32" s="2">
        <v>0</v>
      </c>
      <c r="T32" s="2">
        <v>0</v>
      </c>
      <c r="U32" s="2">
        <v>3</v>
      </c>
      <c r="V32" s="2">
        <v>0</v>
      </c>
      <c r="W32" s="2">
        <v>2</v>
      </c>
      <c r="X32" s="2" t="s">
        <v>30</v>
      </c>
      <c r="Y32" s="2"/>
      <c r="Z32" s="2"/>
    </row>
    <row r="33" spans="1:26">
      <c r="A33" s="2">
        <v>57</v>
      </c>
      <c r="B33" s="2">
        <v>1</v>
      </c>
      <c r="C33" s="2">
        <v>0</v>
      </c>
      <c r="D33" s="2">
        <v>0</v>
      </c>
      <c r="E33" s="2">
        <v>0</v>
      </c>
      <c r="F33" s="2">
        <v>0</v>
      </c>
      <c r="G33" s="2">
        <v>0</v>
      </c>
      <c r="H33" s="2">
        <v>0</v>
      </c>
      <c r="I33" s="2">
        <v>0</v>
      </c>
      <c r="J33" s="2">
        <v>0</v>
      </c>
      <c r="K33" s="2">
        <v>0</v>
      </c>
      <c r="L33" s="2">
        <v>0</v>
      </c>
      <c r="M33" s="2">
        <v>0</v>
      </c>
      <c r="N33" s="2">
        <v>5</v>
      </c>
      <c r="O33" s="2">
        <v>2</v>
      </c>
      <c r="P33" s="2">
        <v>0</v>
      </c>
      <c r="Q33" s="2">
        <v>0</v>
      </c>
      <c r="R33" s="2" t="s">
        <v>29</v>
      </c>
      <c r="S33" s="2">
        <v>0</v>
      </c>
      <c r="T33" s="2">
        <v>0</v>
      </c>
      <c r="U33" s="2">
        <v>0</v>
      </c>
      <c r="V33" s="2">
        <v>0</v>
      </c>
      <c r="W33" s="2" t="s">
        <v>29</v>
      </c>
      <c r="X33" s="2" t="s">
        <v>30</v>
      </c>
      <c r="Y33" s="2"/>
      <c r="Z33" s="2"/>
    </row>
    <row r="34" spans="1:26">
      <c r="A34" s="2">
        <v>58</v>
      </c>
      <c r="B34" s="2">
        <v>0</v>
      </c>
      <c r="C34" s="2">
        <v>0</v>
      </c>
      <c r="D34" s="2">
        <v>0</v>
      </c>
      <c r="E34" s="2">
        <v>0</v>
      </c>
      <c r="F34" s="2">
        <v>0</v>
      </c>
      <c r="G34" s="2">
        <v>0</v>
      </c>
      <c r="H34" s="2">
        <v>0</v>
      </c>
      <c r="I34" s="2">
        <v>1</v>
      </c>
      <c r="J34" s="2">
        <v>0</v>
      </c>
      <c r="K34" s="2">
        <v>0</v>
      </c>
      <c r="L34" s="2">
        <v>0</v>
      </c>
      <c r="M34" s="2">
        <v>0</v>
      </c>
      <c r="N34" s="2">
        <v>0</v>
      </c>
      <c r="O34" s="2">
        <v>2</v>
      </c>
      <c r="P34" s="2">
        <v>2</v>
      </c>
      <c r="Q34" s="2">
        <v>0</v>
      </c>
      <c r="R34" s="2">
        <v>0</v>
      </c>
      <c r="S34" s="2">
        <v>0</v>
      </c>
      <c r="T34" s="2">
        <v>1</v>
      </c>
      <c r="U34" s="2">
        <v>0</v>
      </c>
      <c r="V34" s="2">
        <v>0</v>
      </c>
      <c r="W34" s="2">
        <v>0</v>
      </c>
      <c r="X34" s="2" t="s">
        <v>30</v>
      </c>
      <c r="Y34" s="2"/>
      <c r="Z34" s="2"/>
    </row>
    <row r="35" spans="1:26">
      <c r="A35" s="2">
        <v>62</v>
      </c>
      <c r="B35" s="2">
        <v>0</v>
      </c>
      <c r="C35" s="2">
        <v>1</v>
      </c>
      <c r="D35" s="2">
        <v>2</v>
      </c>
      <c r="E35" s="2">
        <v>1</v>
      </c>
      <c r="F35" s="2" t="s">
        <v>29</v>
      </c>
      <c r="G35" s="2">
        <v>0</v>
      </c>
      <c r="H35" s="2" t="s">
        <v>29</v>
      </c>
      <c r="I35" s="2" t="s">
        <v>29</v>
      </c>
      <c r="J35" s="2" t="s">
        <v>29</v>
      </c>
      <c r="K35" s="2">
        <v>0</v>
      </c>
      <c r="L35" s="2">
        <v>0</v>
      </c>
      <c r="M35" s="2">
        <v>0</v>
      </c>
      <c r="N35" s="2">
        <v>0</v>
      </c>
      <c r="O35" s="2">
        <v>3</v>
      </c>
      <c r="P35" s="2">
        <v>0</v>
      </c>
      <c r="Q35" s="2">
        <v>0</v>
      </c>
      <c r="R35" s="2">
        <v>0</v>
      </c>
      <c r="S35" s="2">
        <v>0</v>
      </c>
      <c r="T35" s="2">
        <v>0</v>
      </c>
      <c r="U35" s="2">
        <v>0</v>
      </c>
      <c r="V35" s="2">
        <v>0</v>
      </c>
      <c r="W35" s="2">
        <v>0</v>
      </c>
      <c r="X35" s="2" t="s">
        <v>30</v>
      </c>
      <c r="Y35" s="2"/>
      <c r="Z35" s="2"/>
    </row>
    <row r="36" spans="1:26">
      <c r="A36" s="2">
        <v>63</v>
      </c>
      <c r="B36" s="2">
        <v>1</v>
      </c>
      <c r="C36" s="2">
        <v>0</v>
      </c>
      <c r="D36" s="2">
        <v>0</v>
      </c>
      <c r="E36" s="2">
        <v>0</v>
      </c>
      <c r="F36" s="2">
        <v>0</v>
      </c>
      <c r="G36" s="2">
        <v>1</v>
      </c>
      <c r="H36" s="2">
        <v>0</v>
      </c>
      <c r="I36" s="2">
        <v>0</v>
      </c>
      <c r="J36" s="2">
        <v>0</v>
      </c>
      <c r="K36" s="2">
        <v>0</v>
      </c>
      <c r="L36" s="2">
        <v>0</v>
      </c>
      <c r="M36" s="2">
        <v>0</v>
      </c>
      <c r="N36" s="2">
        <v>0</v>
      </c>
      <c r="O36" s="2">
        <v>0</v>
      </c>
      <c r="P36" s="2">
        <v>0</v>
      </c>
      <c r="Q36" s="2">
        <v>0</v>
      </c>
      <c r="R36" s="2">
        <v>0</v>
      </c>
      <c r="S36" s="2">
        <v>0</v>
      </c>
      <c r="T36" s="2">
        <v>0</v>
      </c>
      <c r="U36" s="2" t="s">
        <v>29</v>
      </c>
      <c r="V36" s="2">
        <v>0</v>
      </c>
      <c r="W36" s="2" t="s">
        <v>29</v>
      </c>
      <c r="X36" s="2" t="s">
        <v>30</v>
      </c>
      <c r="Y36" s="2"/>
      <c r="Z36" s="2"/>
    </row>
    <row r="37" spans="1:26">
      <c r="A37" s="2">
        <v>64</v>
      </c>
      <c r="B37" s="2">
        <v>0</v>
      </c>
      <c r="C37" s="2">
        <v>0</v>
      </c>
      <c r="D37" s="2">
        <v>5</v>
      </c>
      <c r="E37" s="2">
        <v>0</v>
      </c>
      <c r="F37" s="2" t="s">
        <v>29</v>
      </c>
      <c r="G37" s="2">
        <v>1</v>
      </c>
      <c r="H37" s="2">
        <v>0</v>
      </c>
      <c r="I37" s="2">
        <v>3</v>
      </c>
      <c r="J37" s="2">
        <v>0</v>
      </c>
      <c r="K37" s="2">
        <v>0</v>
      </c>
      <c r="L37" s="2">
        <v>0</v>
      </c>
      <c r="M37" s="2">
        <v>0</v>
      </c>
      <c r="N37" s="2">
        <v>3</v>
      </c>
      <c r="O37" s="2">
        <v>0</v>
      </c>
      <c r="P37" s="2">
        <v>0</v>
      </c>
      <c r="Q37" s="2">
        <v>2</v>
      </c>
      <c r="R37" s="2">
        <v>0</v>
      </c>
      <c r="S37" s="2">
        <v>0</v>
      </c>
      <c r="T37" s="2">
        <v>0</v>
      </c>
      <c r="U37" s="2">
        <v>7</v>
      </c>
      <c r="V37" s="2" t="s">
        <v>29</v>
      </c>
      <c r="W37" s="2">
        <v>1</v>
      </c>
      <c r="X37" s="2" t="s">
        <v>30</v>
      </c>
      <c r="Y37" s="2"/>
      <c r="Z37" s="2"/>
    </row>
    <row r="38" spans="1:26">
      <c r="A38" s="2">
        <v>65</v>
      </c>
      <c r="B38" s="2">
        <v>0</v>
      </c>
      <c r="C38" s="2">
        <v>0</v>
      </c>
      <c r="D38" s="2">
        <v>0</v>
      </c>
      <c r="E38" s="2">
        <v>0</v>
      </c>
      <c r="F38" s="2">
        <v>0</v>
      </c>
      <c r="G38" s="2">
        <v>0</v>
      </c>
      <c r="H38" s="2">
        <v>0</v>
      </c>
      <c r="I38" s="2">
        <v>1</v>
      </c>
      <c r="J38" s="2">
        <v>0</v>
      </c>
      <c r="K38" s="2">
        <v>0</v>
      </c>
      <c r="L38" s="2">
        <v>0</v>
      </c>
      <c r="M38" s="2">
        <v>0</v>
      </c>
      <c r="N38" s="2">
        <v>0</v>
      </c>
      <c r="O38" s="2">
        <v>0</v>
      </c>
      <c r="P38" s="2">
        <v>0</v>
      </c>
      <c r="Q38" s="2">
        <v>0</v>
      </c>
      <c r="R38" s="2">
        <v>0</v>
      </c>
      <c r="S38" s="2">
        <v>0</v>
      </c>
      <c r="T38" s="2">
        <v>0</v>
      </c>
      <c r="U38" s="2">
        <v>0</v>
      </c>
      <c r="V38" s="2" t="s">
        <v>29</v>
      </c>
      <c r="W38" s="2" t="s">
        <v>29</v>
      </c>
      <c r="X38" s="2" t="s">
        <v>30</v>
      </c>
      <c r="Y38" s="2"/>
      <c r="Z38" s="2"/>
    </row>
    <row r="39" spans="1:26">
      <c r="A39" s="2">
        <v>68</v>
      </c>
      <c r="B39" s="2">
        <v>0</v>
      </c>
      <c r="C39" s="2">
        <v>0</v>
      </c>
      <c r="D39" s="2">
        <v>0</v>
      </c>
      <c r="E39" s="2">
        <v>0</v>
      </c>
      <c r="F39" s="2">
        <v>0</v>
      </c>
      <c r="G39" s="2">
        <v>0</v>
      </c>
      <c r="H39" s="2">
        <v>0</v>
      </c>
      <c r="I39" s="2">
        <v>0</v>
      </c>
      <c r="J39" s="2">
        <v>0</v>
      </c>
      <c r="K39" s="2">
        <v>0</v>
      </c>
      <c r="L39" s="2">
        <v>0</v>
      </c>
      <c r="M39" s="2">
        <v>0</v>
      </c>
      <c r="N39" s="2">
        <v>1</v>
      </c>
      <c r="O39" s="2">
        <v>1</v>
      </c>
      <c r="P39" s="2">
        <v>0</v>
      </c>
      <c r="Q39" s="2">
        <v>1</v>
      </c>
      <c r="R39" s="2">
        <v>0</v>
      </c>
      <c r="S39" s="2">
        <v>0</v>
      </c>
      <c r="T39" s="2">
        <v>0</v>
      </c>
      <c r="U39" s="2">
        <v>0</v>
      </c>
      <c r="V39" s="2">
        <v>0</v>
      </c>
      <c r="W39" s="2">
        <v>0</v>
      </c>
      <c r="X39" s="2" t="s">
        <v>30</v>
      </c>
      <c r="Y39" s="2"/>
      <c r="Z39" s="2"/>
    </row>
    <row r="40" spans="1:26">
      <c r="A40" s="2">
        <v>73</v>
      </c>
      <c r="B40" s="2">
        <v>0</v>
      </c>
      <c r="C40" s="2">
        <v>1</v>
      </c>
      <c r="D40" s="2">
        <v>1</v>
      </c>
      <c r="E40" s="2">
        <v>0</v>
      </c>
      <c r="F40" s="2" t="s">
        <v>29</v>
      </c>
      <c r="G40" s="2">
        <v>0</v>
      </c>
      <c r="H40" s="2">
        <v>0</v>
      </c>
      <c r="I40" s="2">
        <v>0</v>
      </c>
      <c r="J40" s="2">
        <v>0</v>
      </c>
      <c r="K40" s="2">
        <v>0</v>
      </c>
      <c r="L40" s="2">
        <v>0</v>
      </c>
      <c r="M40" s="2">
        <v>0</v>
      </c>
      <c r="N40" s="2">
        <v>3</v>
      </c>
      <c r="O40" s="2">
        <v>0</v>
      </c>
      <c r="P40" s="2">
        <v>0</v>
      </c>
      <c r="Q40" s="2">
        <v>0</v>
      </c>
      <c r="R40" s="2">
        <v>0</v>
      </c>
      <c r="S40" s="2">
        <v>0</v>
      </c>
      <c r="T40" s="2">
        <v>2</v>
      </c>
      <c r="U40" s="2" t="s">
        <v>29</v>
      </c>
      <c r="V40" s="2">
        <v>0</v>
      </c>
      <c r="W40" s="2">
        <v>0</v>
      </c>
      <c r="X40" s="2" t="s">
        <v>30</v>
      </c>
      <c r="Y40" s="2"/>
      <c r="Z40" s="2"/>
    </row>
    <row r="41" spans="1:26">
      <c r="A41" s="2">
        <v>74</v>
      </c>
      <c r="B41" s="2">
        <v>0</v>
      </c>
      <c r="C41" s="2">
        <v>0</v>
      </c>
      <c r="D41" s="2">
        <v>0</v>
      </c>
      <c r="E41" s="2">
        <v>0</v>
      </c>
      <c r="F41" s="2">
        <v>0</v>
      </c>
      <c r="G41" s="2">
        <v>0</v>
      </c>
      <c r="H41" s="2">
        <v>0</v>
      </c>
      <c r="I41" s="2">
        <v>1</v>
      </c>
      <c r="J41" s="2">
        <v>0</v>
      </c>
      <c r="K41" s="2">
        <v>0</v>
      </c>
      <c r="L41" s="2">
        <v>0</v>
      </c>
      <c r="M41" s="2">
        <v>0</v>
      </c>
      <c r="N41" s="2">
        <v>0</v>
      </c>
      <c r="O41" s="2">
        <v>0</v>
      </c>
      <c r="P41" s="2">
        <v>0</v>
      </c>
      <c r="Q41" s="2">
        <v>0</v>
      </c>
      <c r="R41" s="2">
        <v>0</v>
      </c>
      <c r="S41" s="2">
        <v>0</v>
      </c>
      <c r="T41" s="2">
        <v>0</v>
      </c>
      <c r="U41" s="2">
        <v>0</v>
      </c>
      <c r="V41" s="2">
        <v>0</v>
      </c>
      <c r="W41" s="2">
        <v>0</v>
      </c>
      <c r="X41" s="2" t="s">
        <v>30</v>
      </c>
      <c r="Y41" s="2"/>
      <c r="Z41" s="2"/>
    </row>
    <row r="42" spans="1:26">
      <c r="A42" s="2">
        <v>75</v>
      </c>
      <c r="B42" s="2">
        <v>0</v>
      </c>
      <c r="C42" s="2">
        <v>0</v>
      </c>
      <c r="D42" s="2">
        <v>0</v>
      </c>
      <c r="E42" s="2">
        <v>0</v>
      </c>
      <c r="F42" s="2">
        <v>0</v>
      </c>
      <c r="G42" s="2">
        <v>0</v>
      </c>
      <c r="H42" s="2">
        <v>0</v>
      </c>
      <c r="I42" s="2">
        <v>0</v>
      </c>
      <c r="J42" s="2">
        <v>1</v>
      </c>
      <c r="K42" s="2">
        <v>0</v>
      </c>
      <c r="L42" s="2">
        <v>0</v>
      </c>
      <c r="M42" s="2">
        <v>0</v>
      </c>
      <c r="N42" s="2" t="s">
        <v>29</v>
      </c>
      <c r="O42" s="2">
        <v>0</v>
      </c>
      <c r="P42" s="2">
        <v>5</v>
      </c>
      <c r="Q42" s="2">
        <v>0</v>
      </c>
      <c r="R42" s="2">
        <v>0</v>
      </c>
      <c r="S42" s="2" t="s">
        <v>29</v>
      </c>
      <c r="T42" s="2">
        <v>2</v>
      </c>
      <c r="U42" s="2">
        <v>0</v>
      </c>
      <c r="V42" s="2">
        <v>0</v>
      </c>
      <c r="W42" s="2">
        <v>0</v>
      </c>
      <c r="X42" s="2" t="s">
        <v>30</v>
      </c>
      <c r="Y42" s="2"/>
      <c r="Z42" s="2"/>
    </row>
    <row r="43" spans="1:26">
      <c r="A43" s="2">
        <v>78</v>
      </c>
      <c r="B43" s="2">
        <v>0</v>
      </c>
      <c r="C43" s="2">
        <v>1</v>
      </c>
      <c r="D43" s="2">
        <v>1</v>
      </c>
      <c r="E43" s="2">
        <v>0</v>
      </c>
      <c r="F43" s="2">
        <v>3</v>
      </c>
      <c r="G43" s="2">
        <v>0</v>
      </c>
      <c r="H43" s="2">
        <v>0</v>
      </c>
      <c r="I43" s="2">
        <v>0</v>
      </c>
      <c r="J43" s="2">
        <v>0</v>
      </c>
      <c r="K43" s="2">
        <v>0</v>
      </c>
      <c r="L43" s="2">
        <v>0</v>
      </c>
      <c r="M43" s="2">
        <v>0</v>
      </c>
      <c r="N43" s="2">
        <v>1</v>
      </c>
      <c r="O43" s="2">
        <v>0</v>
      </c>
      <c r="P43" s="2">
        <v>3</v>
      </c>
      <c r="Q43" s="2">
        <v>0</v>
      </c>
      <c r="R43" s="2">
        <v>0</v>
      </c>
      <c r="S43" s="2">
        <v>0</v>
      </c>
      <c r="T43" s="2">
        <v>0</v>
      </c>
      <c r="U43" s="2">
        <v>4</v>
      </c>
      <c r="V43" s="2">
        <v>0</v>
      </c>
      <c r="W43" s="2">
        <v>0</v>
      </c>
      <c r="X43" s="2" t="s">
        <v>30</v>
      </c>
      <c r="Y43" s="2"/>
      <c r="Z43" s="2"/>
    </row>
    <row r="44" spans="1:26">
      <c r="A44" s="2">
        <v>79</v>
      </c>
      <c r="B44" s="2">
        <v>0</v>
      </c>
      <c r="C44" s="2">
        <v>0</v>
      </c>
      <c r="D44" s="2">
        <v>0</v>
      </c>
      <c r="E44" s="2">
        <v>0</v>
      </c>
      <c r="F44" s="2">
        <v>1</v>
      </c>
      <c r="G44" s="2">
        <v>0</v>
      </c>
      <c r="H44" s="2">
        <v>0</v>
      </c>
      <c r="I44" s="2">
        <v>0</v>
      </c>
      <c r="J44" s="2">
        <v>0</v>
      </c>
      <c r="K44" s="2">
        <v>0</v>
      </c>
      <c r="L44" s="2">
        <v>1</v>
      </c>
      <c r="M44" s="2">
        <v>0</v>
      </c>
      <c r="N44" s="2">
        <v>3</v>
      </c>
      <c r="O44" s="2">
        <v>0</v>
      </c>
      <c r="P44" s="2">
        <v>0</v>
      </c>
      <c r="Q44" s="2">
        <v>0</v>
      </c>
      <c r="R44" s="2">
        <v>0</v>
      </c>
      <c r="S44" s="2">
        <v>0</v>
      </c>
      <c r="T44" s="2">
        <v>0</v>
      </c>
      <c r="U44" s="2">
        <v>0</v>
      </c>
      <c r="V44" s="2">
        <v>0</v>
      </c>
      <c r="W44" s="2">
        <v>0</v>
      </c>
      <c r="X44" s="2" t="s">
        <v>30</v>
      </c>
      <c r="Y44" s="2"/>
      <c r="Z44" s="2"/>
    </row>
    <row r="45" spans="1:26">
      <c r="A45" s="2">
        <v>80</v>
      </c>
      <c r="B45" s="2">
        <v>0</v>
      </c>
      <c r="C45" s="2">
        <v>4</v>
      </c>
      <c r="D45" s="2">
        <v>0</v>
      </c>
      <c r="E45" s="2">
        <v>0</v>
      </c>
      <c r="F45" s="2">
        <v>1</v>
      </c>
      <c r="G45" s="2">
        <v>0</v>
      </c>
      <c r="H45" s="2">
        <v>0</v>
      </c>
      <c r="I45" s="2">
        <v>2</v>
      </c>
      <c r="J45" s="2">
        <v>0</v>
      </c>
      <c r="K45" s="2">
        <v>0</v>
      </c>
      <c r="L45" s="2">
        <v>0</v>
      </c>
      <c r="M45" s="2">
        <v>0</v>
      </c>
      <c r="N45" s="2">
        <v>2</v>
      </c>
      <c r="O45" s="2">
        <v>1</v>
      </c>
      <c r="P45" s="2" t="s">
        <v>29</v>
      </c>
      <c r="Q45" s="2">
        <v>0</v>
      </c>
      <c r="R45" s="2">
        <v>0</v>
      </c>
      <c r="S45" s="2">
        <v>0</v>
      </c>
      <c r="T45" s="2">
        <v>1</v>
      </c>
      <c r="U45" s="2">
        <v>1</v>
      </c>
      <c r="V45" s="2">
        <v>0</v>
      </c>
      <c r="W45" s="2">
        <v>0</v>
      </c>
      <c r="X45" s="2" t="s">
        <v>30</v>
      </c>
      <c r="Y45" s="2"/>
      <c r="Z45" s="2"/>
    </row>
    <row r="46" spans="1:26">
      <c r="A46" s="2">
        <v>81</v>
      </c>
      <c r="B46" s="2">
        <v>0</v>
      </c>
      <c r="C46" s="2">
        <v>0</v>
      </c>
      <c r="D46" s="2">
        <v>0</v>
      </c>
      <c r="E46" s="2">
        <v>0</v>
      </c>
      <c r="F46" s="2">
        <v>0</v>
      </c>
      <c r="G46" s="2">
        <v>0</v>
      </c>
      <c r="H46" s="2">
        <v>1</v>
      </c>
      <c r="I46" s="2">
        <v>0</v>
      </c>
      <c r="J46" s="2">
        <v>0</v>
      </c>
      <c r="K46" s="2">
        <v>0</v>
      </c>
      <c r="L46" s="2">
        <v>0</v>
      </c>
      <c r="M46" s="2">
        <v>0</v>
      </c>
      <c r="N46" s="2">
        <v>4</v>
      </c>
      <c r="O46" s="2">
        <v>0</v>
      </c>
      <c r="P46" s="2">
        <v>0</v>
      </c>
      <c r="Q46" s="2">
        <v>0</v>
      </c>
      <c r="R46" s="2">
        <v>0</v>
      </c>
      <c r="S46" s="2">
        <v>0</v>
      </c>
      <c r="T46" s="2">
        <v>1</v>
      </c>
      <c r="U46" s="2">
        <v>1</v>
      </c>
      <c r="V46" s="2">
        <v>0</v>
      </c>
      <c r="W46" s="2">
        <v>0</v>
      </c>
      <c r="X46" s="2" t="s">
        <v>30</v>
      </c>
      <c r="Y46" s="2"/>
      <c r="Z46" s="2"/>
    </row>
    <row r="47" spans="1:26">
      <c r="A47" s="2">
        <v>82</v>
      </c>
      <c r="B47" s="2">
        <v>0</v>
      </c>
      <c r="C47" s="2">
        <v>0</v>
      </c>
      <c r="D47" s="2">
        <v>0</v>
      </c>
      <c r="E47" s="2">
        <v>0</v>
      </c>
      <c r="F47" s="2">
        <v>0</v>
      </c>
      <c r="G47" s="2">
        <v>0</v>
      </c>
      <c r="H47" s="2">
        <v>2</v>
      </c>
      <c r="I47" s="2">
        <v>1</v>
      </c>
      <c r="J47" s="2">
        <v>0</v>
      </c>
      <c r="K47" s="2">
        <v>0</v>
      </c>
      <c r="L47" s="2">
        <v>0</v>
      </c>
      <c r="M47" s="2">
        <v>0</v>
      </c>
      <c r="N47" s="2">
        <v>8</v>
      </c>
      <c r="O47" s="2">
        <v>0</v>
      </c>
      <c r="P47" s="2">
        <v>0</v>
      </c>
      <c r="Q47" s="2">
        <v>0</v>
      </c>
      <c r="R47" s="2">
        <v>0</v>
      </c>
      <c r="S47" s="2">
        <v>0</v>
      </c>
      <c r="T47" s="2" t="s">
        <v>29</v>
      </c>
      <c r="U47" s="2">
        <v>0</v>
      </c>
      <c r="V47" s="2" t="s">
        <v>29</v>
      </c>
      <c r="W47" s="2" t="s">
        <v>29</v>
      </c>
      <c r="X47" s="2" t="s">
        <v>30</v>
      </c>
      <c r="Y47" s="2"/>
      <c r="Z47" s="2"/>
    </row>
    <row r="48" spans="1:26">
      <c r="A48" s="2">
        <v>83</v>
      </c>
      <c r="B48" s="2">
        <v>0</v>
      </c>
      <c r="C48" s="2">
        <v>0</v>
      </c>
      <c r="D48" s="2">
        <v>4</v>
      </c>
      <c r="E48" s="2">
        <v>0</v>
      </c>
      <c r="F48" s="2">
        <v>0</v>
      </c>
      <c r="G48" s="2">
        <v>0</v>
      </c>
      <c r="H48" s="2">
        <v>1</v>
      </c>
      <c r="I48" s="2">
        <v>0</v>
      </c>
      <c r="J48" s="2">
        <v>2</v>
      </c>
      <c r="K48" s="2">
        <v>0</v>
      </c>
      <c r="L48" s="2">
        <v>0</v>
      </c>
      <c r="M48" s="2">
        <v>0</v>
      </c>
      <c r="N48" s="2">
        <v>0</v>
      </c>
      <c r="O48" s="2">
        <v>0</v>
      </c>
      <c r="P48" s="2">
        <v>0</v>
      </c>
      <c r="Q48" s="2">
        <v>1</v>
      </c>
      <c r="R48" s="2">
        <v>1</v>
      </c>
      <c r="S48" s="2">
        <v>0</v>
      </c>
      <c r="T48" s="2">
        <v>2</v>
      </c>
      <c r="U48" s="2">
        <v>4</v>
      </c>
      <c r="V48" s="2">
        <v>0</v>
      </c>
      <c r="W48" s="2" t="s">
        <v>29</v>
      </c>
      <c r="X48" s="2" t="s">
        <v>30</v>
      </c>
      <c r="Y48" s="2"/>
      <c r="Z48" s="2"/>
    </row>
    <row r="49" spans="1:26">
      <c r="A49" s="2">
        <v>84</v>
      </c>
      <c r="B49" s="2">
        <v>0</v>
      </c>
      <c r="C49" s="2">
        <v>1</v>
      </c>
      <c r="D49" s="2">
        <v>2</v>
      </c>
      <c r="E49" s="2" t="s">
        <v>29</v>
      </c>
      <c r="F49" s="2">
        <v>0</v>
      </c>
      <c r="G49" s="2">
        <v>2</v>
      </c>
      <c r="H49" s="2">
        <v>0</v>
      </c>
      <c r="I49" s="2">
        <v>0</v>
      </c>
      <c r="J49" s="2">
        <v>0</v>
      </c>
      <c r="K49" s="2">
        <v>0</v>
      </c>
      <c r="L49" s="2">
        <v>0</v>
      </c>
      <c r="M49" s="2">
        <v>0</v>
      </c>
      <c r="N49" s="2" t="s">
        <v>29</v>
      </c>
      <c r="O49" s="2">
        <v>1</v>
      </c>
      <c r="P49" s="2" t="s">
        <v>29</v>
      </c>
      <c r="Q49" s="2">
        <v>0</v>
      </c>
      <c r="R49" s="2">
        <v>0</v>
      </c>
      <c r="S49" s="2">
        <v>0</v>
      </c>
      <c r="T49" s="2">
        <v>0</v>
      </c>
      <c r="U49" s="2">
        <v>0</v>
      </c>
      <c r="V49" s="2">
        <v>0</v>
      </c>
      <c r="W49" s="2">
        <v>0</v>
      </c>
      <c r="X49" s="2" t="s">
        <v>30</v>
      </c>
      <c r="Y49" s="2"/>
      <c r="Z49" s="2"/>
    </row>
    <row r="50" spans="1:26">
      <c r="A50" s="2">
        <v>85</v>
      </c>
      <c r="B50" s="2">
        <v>0</v>
      </c>
      <c r="C50" s="2">
        <v>0</v>
      </c>
      <c r="D50" s="2">
        <v>0</v>
      </c>
      <c r="E50" s="2">
        <v>0</v>
      </c>
      <c r="F50" s="2">
        <v>0</v>
      </c>
      <c r="G50" s="2">
        <v>0</v>
      </c>
      <c r="H50" s="2">
        <v>0</v>
      </c>
      <c r="I50" s="2">
        <v>1</v>
      </c>
      <c r="J50" s="2">
        <v>0</v>
      </c>
      <c r="K50" s="2">
        <v>0</v>
      </c>
      <c r="L50" s="2">
        <v>0</v>
      </c>
      <c r="M50" s="2">
        <v>0</v>
      </c>
      <c r="N50" s="2">
        <v>3</v>
      </c>
      <c r="O50" s="2">
        <v>1</v>
      </c>
      <c r="P50" s="2">
        <v>0</v>
      </c>
      <c r="Q50" s="2">
        <v>0</v>
      </c>
      <c r="R50" s="2">
        <v>0</v>
      </c>
      <c r="S50" s="2">
        <v>0</v>
      </c>
      <c r="T50" s="2">
        <v>0</v>
      </c>
      <c r="U50" s="2">
        <v>0</v>
      </c>
      <c r="V50" s="2">
        <v>0</v>
      </c>
      <c r="W50" s="2">
        <v>2</v>
      </c>
      <c r="X50" s="2" t="s">
        <v>30</v>
      </c>
      <c r="Y50" s="2"/>
      <c r="Z50" s="2"/>
    </row>
    <row r="51" spans="1:26">
      <c r="A51" s="2">
        <v>86</v>
      </c>
      <c r="B51" s="2">
        <v>0</v>
      </c>
      <c r="C51" s="2">
        <v>0</v>
      </c>
      <c r="D51" s="2">
        <v>0</v>
      </c>
      <c r="E51" s="2">
        <v>0</v>
      </c>
      <c r="F51" s="2">
        <v>1</v>
      </c>
      <c r="G51" s="2">
        <v>0</v>
      </c>
      <c r="H51" s="2">
        <v>0</v>
      </c>
      <c r="I51" s="2">
        <v>0</v>
      </c>
      <c r="J51" s="2">
        <v>1</v>
      </c>
      <c r="K51" s="2">
        <v>0</v>
      </c>
      <c r="L51" s="2">
        <v>0</v>
      </c>
      <c r="M51" s="2">
        <v>0</v>
      </c>
      <c r="N51" s="2">
        <v>0</v>
      </c>
      <c r="O51" s="2">
        <v>0</v>
      </c>
      <c r="P51" s="2">
        <v>0</v>
      </c>
      <c r="Q51" s="2">
        <v>0</v>
      </c>
      <c r="R51" s="2">
        <v>0</v>
      </c>
      <c r="S51" s="2">
        <v>0</v>
      </c>
      <c r="T51" s="2">
        <v>0</v>
      </c>
      <c r="U51" s="2" t="s">
        <v>29</v>
      </c>
      <c r="V51" s="2" t="s">
        <v>29</v>
      </c>
      <c r="W51" s="2">
        <v>0</v>
      </c>
      <c r="X51" s="2" t="s">
        <v>30</v>
      </c>
      <c r="Y51" s="2"/>
      <c r="Z51" s="2"/>
    </row>
    <row r="52" spans="1:26">
      <c r="A52" s="2">
        <v>87</v>
      </c>
      <c r="B52" s="2" t="s">
        <v>29</v>
      </c>
      <c r="C52" s="2" t="s">
        <v>29</v>
      </c>
      <c r="D52" s="2">
        <v>0</v>
      </c>
      <c r="E52" s="2">
        <v>0</v>
      </c>
      <c r="F52" s="2">
        <v>0</v>
      </c>
      <c r="G52" s="2">
        <v>0</v>
      </c>
      <c r="H52" s="2">
        <v>0</v>
      </c>
      <c r="I52" s="2">
        <v>0</v>
      </c>
      <c r="J52" s="2">
        <v>0</v>
      </c>
      <c r="K52" s="2">
        <v>0</v>
      </c>
      <c r="L52" s="2">
        <v>0</v>
      </c>
      <c r="M52" s="2">
        <v>0</v>
      </c>
      <c r="N52" s="2">
        <v>0</v>
      </c>
      <c r="O52" s="2">
        <v>0</v>
      </c>
      <c r="P52" s="2">
        <v>0</v>
      </c>
      <c r="Q52" s="2">
        <v>0</v>
      </c>
      <c r="R52" s="2">
        <v>0</v>
      </c>
      <c r="S52" s="2">
        <v>6</v>
      </c>
      <c r="T52" s="2">
        <v>0</v>
      </c>
      <c r="U52" s="2">
        <v>0</v>
      </c>
      <c r="V52" s="2">
        <v>0</v>
      </c>
      <c r="W52" s="2">
        <v>2</v>
      </c>
      <c r="X52" s="2">
        <v>2</v>
      </c>
      <c r="Y52" s="2">
        <v>0</v>
      </c>
      <c r="Z52" s="2" t="s">
        <v>30</v>
      </c>
    </row>
    <row r="53" spans="1:26">
      <c r="A53" t="s">
        <v>279</v>
      </c>
      <c r="B53">
        <f>AVERAGE(B1:B52)</f>
        <v>0.16</v>
      </c>
      <c r="C53">
        <f t="shared" ref="C53:Y53" si="0">AVERAGE(C1:C52)</f>
        <v>0.18367346938775511</v>
      </c>
      <c r="D53">
        <f t="shared" si="0"/>
        <v>0.64</v>
      </c>
      <c r="E53">
        <f t="shared" si="0"/>
        <v>0.04</v>
      </c>
      <c r="F53">
        <f t="shared" si="0"/>
        <v>0.75</v>
      </c>
      <c r="G53">
        <f t="shared" si="0"/>
        <v>9.8039215686274508E-2</v>
      </c>
      <c r="H53">
        <f t="shared" si="0"/>
        <v>0.34</v>
      </c>
      <c r="I53">
        <f t="shared" si="0"/>
        <v>0.76</v>
      </c>
      <c r="J53">
        <f t="shared" si="0"/>
        <v>0.26</v>
      </c>
      <c r="K53">
        <f t="shared" si="0"/>
        <v>0</v>
      </c>
      <c r="L53">
        <f t="shared" si="0"/>
        <v>0.02</v>
      </c>
      <c r="M53">
        <f t="shared" si="0"/>
        <v>0</v>
      </c>
      <c r="N53">
        <f t="shared" si="0"/>
        <v>2.3636363636363638</v>
      </c>
      <c r="O53">
        <f t="shared" si="0"/>
        <v>0.63829787234042556</v>
      </c>
      <c r="P53">
        <f t="shared" si="0"/>
        <v>1.173913043478261</v>
      </c>
      <c r="Q53">
        <f t="shared" si="0"/>
        <v>0.42553191489361702</v>
      </c>
      <c r="R53">
        <f t="shared" si="0"/>
        <v>0.33333333333333331</v>
      </c>
      <c r="S53">
        <f t="shared" si="0"/>
        <v>0.12244897959183673</v>
      </c>
      <c r="T53">
        <f t="shared" si="0"/>
        <v>0.41463414634146339</v>
      </c>
      <c r="U53">
        <f t="shared" si="0"/>
        <v>1.0975609756097562</v>
      </c>
      <c r="V53">
        <f t="shared" si="0"/>
        <v>0.17142857142857143</v>
      </c>
      <c r="W53">
        <f t="shared" si="0"/>
        <v>0.6</v>
      </c>
      <c r="X53">
        <f t="shared" si="0"/>
        <v>2</v>
      </c>
      <c r="Y53">
        <f t="shared" si="0"/>
        <v>0</v>
      </c>
    </row>
    <row r="54" spans="1:26">
      <c r="B54">
        <f>B53+1</f>
        <v>1.1599999999999999</v>
      </c>
      <c r="C54">
        <f t="shared" ref="C54:Y54" si="1">C53+1</f>
        <v>1.1836734693877551</v>
      </c>
      <c r="D54">
        <f t="shared" si="1"/>
        <v>1.6400000000000001</v>
      </c>
      <c r="E54">
        <f t="shared" si="1"/>
        <v>1.04</v>
      </c>
      <c r="F54">
        <f t="shared" si="1"/>
        <v>1.75</v>
      </c>
      <c r="G54">
        <f t="shared" si="1"/>
        <v>1.0980392156862746</v>
      </c>
      <c r="H54">
        <f t="shared" si="1"/>
        <v>1.34</v>
      </c>
      <c r="I54">
        <f t="shared" si="1"/>
        <v>1.76</v>
      </c>
      <c r="J54">
        <f t="shared" si="1"/>
        <v>1.26</v>
      </c>
      <c r="K54">
        <f t="shared" si="1"/>
        <v>1</v>
      </c>
      <c r="L54">
        <f t="shared" si="1"/>
        <v>1.02</v>
      </c>
      <c r="M54">
        <f t="shared" si="1"/>
        <v>1</v>
      </c>
      <c r="N54">
        <f t="shared" si="1"/>
        <v>3.3636363636363638</v>
      </c>
      <c r="O54">
        <f t="shared" si="1"/>
        <v>1.6382978723404256</v>
      </c>
      <c r="P54">
        <f t="shared" si="1"/>
        <v>2.1739130434782608</v>
      </c>
      <c r="Q54">
        <f t="shared" si="1"/>
        <v>1.425531914893617</v>
      </c>
      <c r="R54">
        <f t="shared" si="1"/>
        <v>1.3333333333333333</v>
      </c>
      <c r="S54">
        <f t="shared" si="1"/>
        <v>1.1224489795918366</v>
      </c>
      <c r="T54">
        <f t="shared" si="1"/>
        <v>1.4146341463414633</v>
      </c>
      <c r="U54">
        <f t="shared" si="1"/>
        <v>2.0975609756097562</v>
      </c>
      <c r="V54">
        <f t="shared" si="1"/>
        <v>1.1714285714285715</v>
      </c>
      <c r="W54">
        <f t="shared" si="1"/>
        <v>1.6</v>
      </c>
      <c r="X54">
        <f t="shared" si="1"/>
        <v>3</v>
      </c>
      <c r="Y54">
        <f t="shared" si="1"/>
        <v>1</v>
      </c>
    </row>
    <row r="55" spans="1:26">
      <c r="B55">
        <f>AVERAGE(B54:Y54)</f>
        <v>1.5246874119053191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9"/>
  <sheetViews>
    <sheetView workbookViewId="0">
      <selection activeCell="B19" sqref="B19"/>
    </sheetView>
  </sheetViews>
  <sheetFormatPr baseColWidth="10" defaultColWidth="11" defaultRowHeight="15" x14ac:dyDescent="0"/>
  <sheetData>
    <row r="1" spans="1:26">
      <c r="A1">
        <v>7</v>
      </c>
      <c r="B1">
        <v>0</v>
      </c>
      <c r="C1">
        <v>0</v>
      </c>
      <c r="D1">
        <v>1</v>
      </c>
      <c r="E1">
        <v>2</v>
      </c>
      <c r="F1">
        <v>0</v>
      </c>
      <c r="G1">
        <v>0</v>
      </c>
      <c r="H1">
        <v>0</v>
      </c>
      <c r="I1">
        <v>0</v>
      </c>
      <c r="J1">
        <v>0</v>
      </c>
      <c r="K1">
        <v>0</v>
      </c>
      <c r="L1">
        <v>0</v>
      </c>
      <c r="M1">
        <v>0</v>
      </c>
      <c r="N1" t="s">
        <v>29</v>
      </c>
      <c r="O1" t="s">
        <v>29</v>
      </c>
      <c r="P1" t="s">
        <v>29</v>
      </c>
      <c r="Q1">
        <v>0</v>
      </c>
      <c r="R1">
        <v>0</v>
      </c>
      <c r="S1">
        <v>1</v>
      </c>
      <c r="T1" t="s">
        <v>29</v>
      </c>
      <c r="U1">
        <v>3</v>
      </c>
      <c r="V1">
        <v>2</v>
      </c>
      <c r="W1">
        <v>2</v>
      </c>
      <c r="X1" t="s">
        <v>30</v>
      </c>
    </row>
    <row r="2" spans="1:26">
      <c r="A2">
        <v>21</v>
      </c>
      <c r="B2">
        <v>0</v>
      </c>
      <c r="C2">
        <v>0</v>
      </c>
      <c r="D2">
        <v>0</v>
      </c>
      <c r="E2">
        <v>0</v>
      </c>
      <c r="F2">
        <v>1</v>
      </c>
      <c r="G2">
        <v>0</v>
      </c>
      <c r="H2">
        <v>0</v>
      </c>
      <c r="I2">
        <v>0</v>
      </c>
      <c r="J2">
        <v>0</v>
      </c>
      <c r="K2">
        <v>0</v>
      </c>
      <c r="L2">
        <v>0</v>
      </c>
      <c r="M2">
        <v>0</v>
      </c>
      <c r="N2">
        <v>0</v>
      </c>
      <c r="O2">
        <v>0</v>
      </c>
      <c r="P2">
        <v>0</v>
      </c>
      <c r="Q2">
        <v>0</v>
      </c>
      <c r="R2">
        <v>0</v>
      </c>
      <c r="S2">
        <v>0</v>
      </c>
      <c r="T2">
        <v>0</v>
      </c>
      <c r="U2">
        <v>2</v>
      </c>
      <c r="V2" t="s">
        <v>29</v>
      </c>
      <c r="W2" t="s">
        <v>29</v>
      </c>
      <c r="X2" t="s">
        <v>30</v>
      </c>
    </row>
    <row r="3" spans="1:26">
      <c r="A3">
        <v>25</v>
      </c>
      <c r="B3" t="s">
        <v>29</v>
      </c>
      <c r="C3">
        <v>2</v>
      </c>
      <c r="D3" t="s">
        <v>29</v>
      </c>
      <c r="E3" t="s">
        <v>29</v>
      </c>
      <c r="F3">
        <v>0</v>
      </c>
      <c r="G3" t="s">
        <v>29</v>
      </c>
      <c r="H3" t="s">
        <v>29</v>
      </c>
      <c r="I3" t="s">
        <v>29</v>
      </c>
      <c r="J3" t="s">
        <v>29</v>
      </c>
      <c r="K3" t="s">
        <v>29</v>
      </c>
      <c r="L3" t="s">
        <v>29</v>
      </c>
      <c r="M3" t="s">
        <v>29</v>
      </c>
      <c r="N3">
        <v>0</v>
      </c>
      <c r="O3" t="s">
        <v>29</v>
      </c>
      <c r="P3" t="s">
        <v>29</v>
      </c>
      <c r="Q3" t="s">
        <v>29</v>
      </c>
      <c r="R3" t="s">
        <v>29</v>
      </c>
      <c r="S3" t="s">
        <v>29</v>
      </c>
      <c r="T3" t="s">
        <v>29</v>
      </c>
      <c r="U3" t="s">
        <v>29</v>
      </c>
      <c r="V3" t="s">
        <v>29</v>
      </c>
      <c r="W3">
        <v>9</v>
      </c>
      <c r="X3" t="s">
        <v>30</v>
      </c>
    </row>
    <row r="4" spans="1:26">
      <c r="A4">
        <v>26</v>
      </c>
      <c r="B4">
        <v>0</v>
      </c>
      <c r="C4">
        <v>1</v>
      </c>
      <c r="D4">
        <v>1</v>
      </c>
      <c r="E4">
        <v>0</v>
      </c>
      <c r="F4" t="s">
        <v>29</v>
      </c>
      <c r="G4">
        <v>0</v>
      </c>
      <c r="H4">
        <v>0</v>
      </c>
      <c r="I4">
        <v>0</v>
      </c>
      <c r="J4">
        <v>0</v>
      </c>
      <c r="K4">
        <v>0</v>
      </c>
      <c r="L4">
        <v>0</v>
      </c>
      <c r="M4">
        <v>0</v>
      </c>
      <c r="N4">
        <v>2</v>
      </c>
      <c r="O4">
        <v>0</v>
      </c>
      <c r="P4">
        <v>0</v>
      </c>
      <c r="Q4">
        <v>0</v>
      </c>
      <c r="R4">
        <v>0</v>
      </c>
      <c r="S4">
        <v>0</v>
      </c>
      <c r="T4">
        <v>0</v>
      </c>
      <c r="U4">
        <v>5</v>
      </c>
      <c r="V4">
        <v>0</v>
      </c>
      <c r="W4">
        <v>5</v>
      </c>
      <c r="X4" t="s">
        <v>30</v>
      </c>
    </row>
    <row r="5" spans="1:26">
      <c r="A5">
        <v>34</v>
      </c>
      <c r="B5">
        <v>0</v>
      </c>
      <c r="C5" t="s">
        <v>29</v>
      </c>
      <c r="D5" t="s">
        <v>29</v>
      </c>
      <c r="E5" t="s">
        <v>29</v>
      </c>
      <c r="F5" t="s">
        <v>29</v>
      </c>
      <c r="G5" t="s">
        <v>29</v>
      </c>
      <c r="H5" t="s">
        <v>29</v>
      </c>
      <c r="I5" t="s">
        <v>29</v>
      </c>
      <c r="J5" t="s">
        <v>29</v>
      </c>
      <c r="K5" t="s">
        <v>29</v>
      </c>
      <c r="L5">
        <v>0</v>
      </c>
      <c r="M5" t="s">
        <v>29</v>
      </c>
      <c r="N5" t="s">
        <v>29</v>
      </c>
      <c r="O5" t="s">
        <v>29</v>
      </c>
      <c r="P5">
        <v>0</v>
      </c>
      <c r="Q5" t="s">
        <v>29</v>
      </c>
      <c r="R5" t="s">
        <v>29</v>
      </c>
      <c r="S5" t="s">
        <v>29</v>
      </c>
      <c r="T5">
        <v>0</v>
      </c>
      <c r="U5">
        <v>0</v>
      </c>
      <c r="V5" t="s">
        <v>29</v>
      </c>
      <c r="W5" t="s">
        <v>29</v>
      </c>
      <c r="X5" t="s">
        <v>30</v>
      </c>
    </row>
    <row r="6" spans="1:26">
      <c r="A6">
        <v>35</v>
      </c>
      <c r="B6">
        <v>1</v>
      </c>
      <c r="C6">
        <v>1</v>
      </c>
      <c r="D6">
        <v>0</v>
      </c>
      <c r="E6">
        <v>0</v>
      </c>
      <c r="F6">
        <v>0</v>
      </c>
      <c r="G6">
        <v>0</v>
      </c>
      <c r="H6">
        <v>0</v>
      </c>
      <c r="I6">
        <v>0</v>
      </c>
      <c r="J6">
        <v>0</v>
      </c>
      <c r="K6">
        <v>0</v>
      </c>
      <c r="L6">
        <v>0</v>
      </c>
      <c r="M6">
        <v>0</v>
      </c>
      <c r="N6">
        <v>3</v>
      </c>
      <c r="O6">
        <v>0</v>
      </c>
      <c r="P6">
        <v>0</v>
      </c>
      <c r="Q6">
        <v>0</v>
      </c>
      <c r="R6">
        <v>0</v>
      </c>
      <c r="S6">
        <v>0</v>
      </c>
      <c r="T6">
        <v>0</v>
      </c>
      <c r="U6">
        <v>0</v>
      </c>
      <c r="V6">
        <v>0</v>
      </c>
      <c r="W6">
        <v>0</v>
      </c>
      <c r="X6" t="s">
        <v>30</v>
      </c>
    </row>
    <row r="7" spans="1:26">
      <c r="A7">
        <v>37</v>
      </c>
      <c r="B7">
        <v>0</v>
      </c>
      <c r="C7" t="s">
        <v>29</v>
      </c>
      <c r="D7">
        <v>0</v>
      </c>
      <c r="E7" t="s">
        <v>29</v>
      </c>
      <c r="F7" t="s">
        <v>29</v>
      </c>
      <c r="G7" t="s">
        <v>29</v>
      </c>
      <c r="H7" t="s">
        <v>29</v>
      </c>
      <c r="I7" t="s">
        <v>29</v>
      </c>
      <c r="J7" t="s">
        <v>29</v>
      </c>
      <c r="K7" t="s">
        <v>29</v>
      </c>
      <c r="L7" t="s">
        <v>29</v>
      </c>
      <c r="M7" t="s">
        <v>29</v>
      </c>
      <c r="N7" t="s">
        <v>29</v>
      </c>
      <c r="O7" t="s">
        <v>29</v>
      </c>
      <c r="P7" t="s">
        <v>29</v>
      </c>
      <c r="Q7" t="s">
        <v>29</v>
      </c>
      <c r="R7" t="s">
        <v>29</v>
      </c>
      <c r="S7">
        <v>0</v>
      </c>
      <c r="T7" t="s">
        <v>29</v>
      </c>
      <c r="U7" t="s">
        <v>29</v>
      </c>
      <c r="V7" t="s">
        <v>29</v>
      </c>
      <c r="W7" t="s">
        <v>29</v>
      </c>
      <c r="X7" t="s">
        <v>30</v>
      </c>
    </row>
    <row r="8" spans="1:26">
      <c r="A8">
        <v>56</v>
      </c>
      <c r="B8">
        <v>0</v>
      </c>
      <c r="C8">
        <v>0</v>
      </c>
      <c r="D8">
        <v>0</v>
      </c>
      <c r="E8">
        <v>0</v>
      </c>
      <c r="F8">
        <v>0</v>
      </c>
      <c r="G8">
        <v>0</v>
      </c>
      <c r="H8">
        <v>1</v>
      </c>
      <c r="I8">
        <v>0</v>
      </c>
      <c r="J8">
        <v>0</v>
      </c>
      <c r="K8">
        <v>0</v>
      </c>
      <c r="L8">
        <v>1</v>
      </c>
      <c r="M8">
        <v>0</v>
      </c>
      <c r="N8">
        <v>0</v>
      </c>
      <c r="O8">
        <v>0</v>
      </c>
      <c r="P8">
        <v>0</v>
      </c>
      <c r="Q8">
        <v>0</v>
      </c>
      <c r="R8">
        <v>0</v>
      </c>
      <c r="S8">
        <v>0</v>
      </c>
      <c r="T8">
        <v>0</v>
      </c>
      <c r="U8">
        <v>0</v>
      </c>
      <c r="V8">
        <v>0</v>
      </c>
      <c r="W8">
        <v>1</v>
      </c>
      <c r="X8" t="s">
        <v>30</v>
      </c>
    </row>
    <row r="9" spans="1:26">
      <c r="A9">
        <v>61</v>
      </c>
      <c r="B9">
        <v>0</v>
      </c>
      <c r="C9">
        <v>0</v>
      </c>
      <c r="D9">
        <v>0</v>
      </c>
      <c r="E9">
        <v>0</v>
      </c>
      <c r="F9" t="s">
        <v>29</v>
      </c>
      <c r="G9">
        <v>0</v>
      </c>
      <c r="H9">
        <v>0</v>
      </c>
      <c r="I9">
        <v>0</v>
      </c>
      <c r="J9">
        <v>0</v>
      </c>
      <c r="K9">
        <v>0</v>
      </c>
      <c r="L9">
        <v>0</v>
      </c>
      <c r="M9">
        <v>0</v>
      </c>
      <c r="N9">
        <v>0</v>
      </c>
      <c r="O9">
        <v>0</v>
      </c>
      <c r="P9">
        <v>0</v>
      </c>
      <c r="Q9">
        <v>0</v>
      </c>
      <c r="R9">
        <v>0</v>
      </c>
      <c r="S9">
        <v>0</v>
      </c>
      <c r="T9">
        <v>0</v>
      </c>
      <c r="U9" t="s">
        <v>29</v>
      </c>
      <c r="V9" t="s">
        <v>29</v>
      </c>
      <c r="W9" t="s">
        <v>29</v>
      </c>
      <c r="X9" t="s">
        <v>30</v>
      </c>
    </row>
    <row r="10" spans="1:26">
      <c r="A10">
        <v>66</v>
      </c>
      <c r="B10">
        <v>0</v>
      </c>
      <c r="C10">
        <v>0</v>
      </c>
      <c r="D10">
        <v>1</v>
      </c>
      <c r="E10">
        <v>0</v>
      </c>
      <c r="F10" t="s">
        <v>29</v>
      </c>
      <c r="G10">
        <v>1</v>
      </c>
      <c r="H10">
        <v>0</v>
      </c>
      <c r="I10">
        <v>0</v>
      </c>
      <c r="J10">
        <v>0</v>
      </c>
      <c r="K10">
        <v>0</v>
      </c>
      <c r="L10">
        <v>0</v>
      </c>
      <c r="M10">
        <v>0</v>
      </c>
      <c r="N10" t="s">
        <v>29</v>
      </c>
      <c r="O10">
        <v>1</v>
      </c>
      <c r="P10">
        <v>0</v>
      </c>
      <c r="Q10">
        <v>1</v>
      </c>
      <c r="R10">
        <v>0</v>
      </c>
      <c r="S10">
        <v>0</v>
      </c>
      <c r="T10">
        <v>0</v>
      </c>
      <c r="U10">
        <v>0</v>
      </c>
      <c r="V10">
        <v>0</v>
      </c>
      <c r="W10">
        <v>1</v>
      </c>
      <c r="X10" t="s">
        <v>30</v>
      </c>
    </row>
    <row r="11" spans="1:26">
      <c r="A11">
        <v>67</v>
      </c>
      <c r="B11">
        <v>0</v>
      </c>
      <c r="C11" t="s">
        <v>29</v>
      </c>
      <c r="D11" t="s">
        <v>29</v>
      </c>
      <c r="E11" t="s">
        <v>29</v>
      </c>
      <c r="F11" t="s">
        <v>29</v>
      </c>
      <c r="G11" t="s">
        <v>29</v>
      </c>
      <c r="H11" t="s">
        <v>29</v>
      </c>
      <c r="I11" t="s">
        <v>29</v>
      </c>
      <c r="J11" t="s">
        <v>29</v>
      </c>
      <c r="K11" t="s">
        <v>29</v>
      </c>
      <c r="L11" t="s">
        <v>29</v>
      </c>
      <c r="M11" t="s">
        <v>29</v>
      </c>
      <c r="N11" t="s">
        <v>29</v>
      </c>
      <c r="O11" t="s">
        <v>29</v>
      </c>
      <c r="P11" t="s">
        <v>29</v>
      </c>
      <c r="Q11" t="s">
        <v>29</v>
      </c>
      <c r="R11" t="s">
        <v>29</v>
      </c>
      <c r="S11" t="s">
        <v>29</v>
      </c>
      <c r="T11" t="s">
        <v>29</v>
      </c>
      <c r="U11" t="s">
        <v>29</v>
      </c>
      <c r="V11" t="s">
        <v>29</v>
      </c>
      <c r="W11" t="s">
        <v>29</v>
      </c>
      <c r="X11" t="s">
        <v>30</v>
      </c>
    </row>
    <row r="12" spans="1:26">
      <c r="A12">
        <v>69</v>
      </c>
      <c r="B12">
        <v>0</v>
      </c>
      <c r="C12">
        <v>0</v>
      </c>
      <c r="D12" t="s">
        <v>29</v>
      </c>
      <c r="E12">
        <v>0</v>
      </c>
      <c r="F12" t="s">
        <v>29</v>
      </c>
      <c r="G12">
        <v>0</v>
      </c>
      <c r="H12">
        <v>0</v>
      </c>
      <c r="I12">
        <v>0</v>
      </c>
      <c r="J12">
        <v>0</v>
      </c>
      <c r="K12">
        <v>0</v>
      </c>
      <c r="L12">
        <v>0</v>
      </c>
      <c r="M12">
        <v>0</v>
      </c>
      <c r="N12">
        <v>0</v>
      </c>
      <c r="O12">
        <v>2</v>
      </c>
      <c r="P12">
        <v>1</v>
      </c>
      <c r="Q12">
        <v>0</v>
      </c>
      <c r="R12">
        <v>0</v>
      </c>
      <c r="S12">
        <v>0</v>
      </c>
      <c r="T12" t="s">
        <v>29</v>
      </c>
      <c r="U12" t="s">
        <v>29</v>
      </c>
      <c r="V12" t="s">
        <v>29</v>
      </c>
      <c r="W12" t="s">
        <v>29</v>
      </c>
      <c r="X12" t="s">
        <v>30</v>
      </c>
    </row>
    <row r="13" spans="1:26">
      <c r="A13">
        <v>70</v>
      </c>
      <c r="B13">
        <v>0</v>
      </c>
      <c r="C13">
        <v>0</v>
      </c>
      <c r="D13">
        <v>0</v>
      </c>
      <c r="E13">
        <v>0</v>
      </c>
      <c r="F13">
        <v>0</v>
      </c>
      <c r="G13">
        <v>0</v>
      </c>
      <c r="H13">
        <v>0</v>
      </c>
      <c r="I13">
        <v>2</v>
      </c>
      <c r="J13">
        <v>1</v>
      </c>
      <c r="K13">
        <v>0</v>
      </c>
      <c r="L13">
        <v>0</v>
      </c>
      <c r="M13">
        <v>0</v>
      </c>
      <c r="N13">
        <v>0</v>
      </c>
      <c r="O13">
        <v>0</v>
      </c>
      <c r="P13">
        <v>0</v>
      </c>
      <c r="Q13">
        <v>0</v>
      </c>
      <c r="R13">
        <v>0</v>
      </c>
      <c r="S13">
        <v>0</v>
      </c>
      <c r="T13">
        <v>2</v>
      </c>
      <c r="U13">
        <v>0</v>
      </c>
      <c r="V13">
        <v>1</v>
      </c>
      <c r="W13" t="s">
        <v>29</v>
      </c>
      <c r="X13" t="s">
        <v>30</v>
      </c>
    </row>
    <row r="14" spans="1:26">
      <c r="A14">
        <v>71</v>
      </c>
      <c r="B14">
        <v>0</v>
      </c>
      <c r="C14" t="s">
        <v>29</v>
      </c>
      <c r="D14">
        <v>0</v>
      </c>
      <c r="E14">
        <v>0</v>
      </c>
      <c r="F14">
        <v>0</v>
      </c>
      <c r="G14">
        <v>0</v>
      </c>
      <c r="H14">
        <v>0</v>
      </c>
      <c r="I14">
        <v>0</v>
      </c>
      <c r="J14">
        <v>0</v>
      </c>
      <c r="K14">
        <v>0</v>
      </c>
      <c r="L14">
        <v>0</v>
      </c>
      <c r="M14">
        <v>0</v>
      </c>
      <c r="N14">
        <v>0</v>
      </c>
      <c r="O14">
        <v>0</v>
      </c>
      <c r="P14">
        <v>0</v>
      </c>
      <c r="Q14">
        <v>0</v>
      </c>
      <c r="R14">
        <v>0</v>
      </c>
      <c r="S14">
        <v>0</v>
      </c>
      <c r="T14">
        <v>0</v>
      </c>
      <c r="U14">
        <v>0</v>
      </c>
      <c r="V14">
        <v>0</v>
      </c>
      <c r="W14">
        <v>0</v>
      </c>
      <c r="X14" t="s">
        <v>30</v>
      </c>
    </row>
    <row r="15" spans="1:26">
      <c r="A15">
        <v>76</v>
      </c>
      <c r="B15">
        <v>0</v>
      </c>
      <c r="C15">
        <v>0</v>
      </c>
      <c r="D15">
        <v>0</v>
      </c>
      <c r="E15">
        <v>0</v>
      </c>
      <c r="F15">
        <v>0</v>
      </c>
      <c r="G15">
        <v>0</v>
      </c>
      <c r="H15">
        <v>0</v>
      </c>
      <c r="I15">
        <v>0</v>
      </c>
      <c r="J15">
        <v>0</v>
      </c>
      <c r="K15">
        <v>0</v>
      </c>
      <c r="L15">
        <v>0</v>
      </c>
      <c r="M15">
        <v>0</v>
      </c>
      <c r="N15">
        <v>3</v>
      </c>
      <c r="O15">
        <v>0</v>
      </c>
      <c r="P15">
        <v>0</v>
      </c>
      <c r="Q15">
        <v>0</v>
      </c>
      <c r="R15">
        <v>0</v>
      </c>
      <c r="S15">
        <v>0</v>
      </c>
      <c r="T15">
        <v>1</v>
      </c>
      <c r="U15" t="s">
        <v>29</v>
      </c>
      <c r="V15">
        <v>1</v>
      </c>
      <c r="W15" t="s">
        <v>29</v>
      </c>
      <c r="X15" t="s">
        <v>30</v>
      </c>
    </row>
    <row r="16" spans="1:26">
      <c r="A16">
        <v>77</v>
      </c>
      <c r="B16" t="s">
        <v>29</v>
      </c>
      <c r="C16" t="s">
        <v>29</v>
      </c>
      <c r="D16" t="s">
        <v>29</v>
      </c>
      <c r="E16">
        <v>0</v>
      </c>
      <c r="F16">
        <v>0</v>
      </c>
      <c r="G16">
        <v>0</v>
      </c>
      <c r="H16">
        <v>0</v>
      </c>
      <c r="I16">
        <v>0</v>
      </c>
      <c r="J16">
        <v>0</v>
      </c>
      <c r="K16">
        <v>0</v>
      </c>
      <c r="L16">
        <v>0</v>
      </c>
      <c r="M16">
        <v>0</v>
      </c>
      <c r="N16">
        <v>0</v>
      </c>
      <c r="O16">
        <v>0</v>
      </c>
      <c r="P16">
        <v>0</v>
      </c>
      <c r="Q16">
        <v>0</v>
      </c>
      <c r="R16">
        <v>0</v>
      </c>
      <c r="S16">
        <v>0</v>
      </c>
      <c r="T16">
        <v>0</v>
      </c>
      <c r="U16">
        <v>0</v>
      </c>
      <c r="V16">
        <v>0</v>
      </c>
      <c r="W16" t="s">
        <v>29</v>
      </c>
      <c r="X16" t="s">
        <v>29</v>
      </c>
      <c r="Y16" t="s">
        <v>29</v>
      </c>
      <c r="Z16" t="s">
        <v>30</v>
      </c>
    </row>
    <row r="17" spans="2:23">
      <c r="B17">
        <f>AVERAGE(B1:B16)</f>
        <v>7.1428571428571425E-2</v>
      </c>
      <c r="C17">
        <f t="shared" ref="C17:W17" si="0">AVERAGE(C1:C16)</f>
        <v>0.36363636363636365</v>
      </c>
      <c r="D17">
        <f t="shared" si="0"/>
        <v>0.27272727272727271</v>
      </c>
      <c r="E17">
        <f t="shared" si="0"/>
        <v>0.16666666666666666</v>
      </c>
      <c r="F17">
        <f t="shared" si="0"/>
        <v>0.1111111111111111</v>
      </c>
      <c r="G17">
        <f t="shared" si="0"/>
        <v>8.3333333333333329E-2</v>
      </c>
      <c r="H17">
        <f t="shared" si="0"/>
        <v>8.3333333333333329E-2</v>
      </c>
      <c r="I17">
        <f t="shared" si="0"/>
        <v>0.16666666666666666</v>
      </c>
      <c r="J17">
        <f t="shared" si="0"/>
        <v>8.3333333333333329E-2</v>
      </c>
      <c r="K17">
        <f t="shared" si="0"/>
        <v>0</v>
      </c>
      <c r="L17">
        <f t="shared" si="0"/>
        <v>7.6923076923076927E-2</v>
      </c>
      <c r="M17">
        <f t="shared" si="0"/>
        <v>0</v>
      </c>
      <c r="N17">
        <f t="shared" si="0"/>
        <v>0.72727272727272729</v>
      </c>
      <c r="O17">
        <f t="shared" si="0"/>
        <v>0.27272727272727271</v>
      </c>
      <c r="P17">
        <f t="shared" si="0"/>
        <v>8.3333333333333329E-2</v>
      </c>
      <c r="Q17">
        <f t="shared" si="0"/>
        <v>8.3333333333333329E-2</v>
      </c>
      <c r="R17">
        <f t="shared" si="0"/>
        <v>0</v>
      </c>
      <c r="S17">
        <f t="shared" si="0"/>
        <v>7.6923076923076927E-2</v>
      </c>
      <c r="T17">
        <f t="shared" si="0"/>
        <v>0.27272727272727271</v>
      </c>
      <c r="U17">
        <f t="shared" si="0"/>
        <v>1</v>
      </c>
      <c r="V17">
        <f t="shared" si="0"/>
        <v>0.44444444444444442</v>
      </c>
      <c r="W17">
        <f t="shared" si="0"/>
        <v>2.5714285714285716</v>
      </c>
    </row>
    <row r="18" spans="2:23">
      <c r="B18">
        <f>B17+1</f>
        <v>1.0714285714285714</v>
      </c>
      <c r="C18">
        <f t="shared" ref="C18:W18" si="1">C17+1</f>
        <v>1.3636363636363638</v>
      </c>
      <c r="D18">
        <f t="shared" si="1"/>
        <v>1.2727272727272727</v>
      </c>
      <c r="E18">
        <f t="shared" si="1"/>
        <v>1.1666666666666667</v>
      </c>
      <c r="F18">
        <f t="shared" si="1"/>
        <v>1.1111111111111112</v>
      </c>
      <c r="G18">
        <f t="shared" si="1"/>
        <v>1.0833333333333333</v>
      </c>
      <c r="H18">
        <f t="shared" si="1"/>
        <v>1.0833333333333333</v>
      </c>
      <c r="I18">
        <f t="shared" si="1"/>
        <v>1.1666666666666667</v>
      </c>
      <c r="J18">
        <f t="shared" si="1"/>
        <v>1.0833333333333333</v>
      </c>
      <c r="K18">
        <f t="shared" si="1"/>
        <v>1</v>
      </c>
      <c r="L18">
        <f t="shared" si="1"/>
        <v>1.0769230769230769</v>
      </c>
      <c r="M18">
        <f t="shared" si="1"/>
        <v>1</v>
      </c>
      <c r="N18">
        <f t="shared" si="1"/>
        <v>1.7272727272727273</v>
      </c>
      <c r="O18">
        <f t="shared" si="1"/>
        <v>1.2727272727272727</v>
      </c>
      <c r="P18">
        <f t="shared" si="1"/>
        <v>1.0833333333333333</v>
      </c>
      <c r="Q18">
        <f t="shared" si="1"/>
        <v>1.0833333333333333</v>
      </c>
      <c r="R18">
        <f t="shared" si="1"/>
        <v>1</v>
      </c>
      <c r="S18">
        <f t="shared" si="1"/>
        <v>1.0769230769230769</v>
      </c>
      <c r="T18">
        <f t="shared" si="1"/>
        <v>1.2727272727272727</v>
      </c>
      <c r="U18">
        <f t="shared" si="1"/>
        <v>2</v>
      </c>
      <c r="V18">
        <f t="shared" si="1"/>
        <v>1.4444444444444444</v>
      </c>
      <c r="W18">
        <f t="shared" si="1"/>
        <v>3.5714285714285716</v>
      </c>
    </row>
    <row r="19" spans="2:23">
      <c r="B19">
        <f>AVERAGE(B18:W18)</f>
        <v>1.3186977164249891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
  <sheetViews>
    <sheetView topLeftCell="A6" workbookViewId="0">
      <selection activeCell="E20" sqref="E20:F22"/>
    </sheetView>
  </sheetViews>
  <sheetFormatPr baseColWidth="10" defaultColWidth="11" defaultRowHeight="15" x14ac:dyDescent="0"/>
  <cols>
    <col min="1" max="1" width="12" bestFit="1" customWidth="1"/>
  </cols>
  <sheetData>
    <row r="1" spans="1:26">
      <c r="A1">
        <v>7</v>
      </c>
      <c r="B1">
        <v>0</v>
      </c>
      <c r="C1">
        <v>0</v>
      </c>
      <c r="D1">
        <v>1</v>
      </c>
      <c r="E1">
        <v>2</v>
      </c>
      <c r="F1">
        <v>0</v>
      </c>
      <c r="G1">
        <v>0</v>
      </c>
      <c r="H1">
        <v>0</v>
      </c>
      <c r="I1">
        <v>0</v>
      </c>
      <c r="J1">
        <v>0</v>
      </c>
      <c r="K1">
        <v>0</v>
      </c>
      <c r="L1">
        <v>0</v>
      </c>
      <c r="M1">
        <v>0</v>
      </c>
      <c r="N1" t="s">
        <v>29</v>
      </c>
      <c r="O1" t="s">
        <v>29</v>
      </c>
      <c r="P1" t="s">
        <v>29</v>
      </c>
      <c r="Q1">
        <v>0</v>
      </c>
      <c r="R1">
        <v>0</v>
      </c>
      <c r="S1">
        <v>1</v>
      </c>
      <c r="T1" t="s">
        <v>29</v>
      </c>
      <c r="U1">
        <v>1</v>
      </c>
      <c r="V1">
        <v>2</v>
      </c>
      <c r="W1">
        <v>0</v>
      </c>
      <c r="X1" t="s">
        <v>30</v>
      </c>
    </row>
    <row r="2" spans="1:26">
      <c r="A2">
        <v>21</v>
      </c>
      <c r="B2">
        <v>0</v>
      </c>
      <c r="C2">
        <v>0</v>
      </c>
      <c r="D2">
        <v>0</v>
      </c>
      <c r="E2">
        <v>0</v>
      </c>
      <c r="F2">
        <v>1</v>
      </c>
      <c r="G2">
        <v>0</v>
      </c>
      <c r="H2">
        <v>0</v>
      </c>
      <c r="I2">
        <v>0</v>
      </c>
      <c r="J2">
        <v>0</v>
      </c>
      <c r="K2">
        <v>0</v>
      </c>
      <c r="L2">
        <v>0</v>
      </c>
      <c r="M2">
        <v>0</v>
      </c>
      <c r="N2">
        <v>0</v>
      </c>
      <c r="O2">
        <v>0</v>
      </c>
      <c r="P2">
        <v>0</v>
      </c>
      <c r="Q2">
        <v>0</v>
      </c>
      <c r="R2">
        <v>0</v>
      </c>
      <c r="S2">
        <v>0</v>
      </c>
      <c r="T2">
        <v>0</v>
      </c>
      <c r="U2">
        <v>2</v>
      </c>
      <c r="V2" t="s">
        <v>29</v>
      </c>
      <c r="W2" t="s">
        <v>29</v>
      </c>
      <c r="X2" t="s">
        <v>30</v>
      </c>
    </row>
    <row r="3" spans="1:26">
      <c r="A3">
        <v>25</v>
      </c>
      <c r="B3" t="s">
        <v>29</v>
      </c>
      <c r="C3">
        <v>1</v>
      </c>
      <c r="D3" t="s">
        <v>29</v>
      </c>
      <c r="E3" t="s">
        <v>29</v>
      </c>
      <c r="F3">
        <v>0</v>
      </c>
      <c r="G3" t="s">
        <v>29</v>
      </c>
      <c r="H3" t="s">
        <v>29</v>
      </c>
      <c r="I3" t="s">
        <v>29</v>
      </c>
      <c r="J3" t="s">
        <v>29</v>
      </c>
      <c r="K3" t="s">
        <v>29</v>
      </c>
      <c r="L3" t="s">
        <v>29</v>
      </c>
      <c r="M3" t="s">
        <v>29</v>
      </c>
      <c r="N3">
        <v>0</v>
      </c>
      <c r="O3" t="s">
        <v>29</v>
      </c>
      <c r="P3" t="s">
        <v>29</v>
      </c>
      <c r="Q3" t="s">
        <v>29</v>
      </c>
      <c r="R3" t="s">
        <v>29</v>
      </c>
      <c r="S3" t="s">
        <v>29</v>
      </c>
      <c r="T3" t="s">
        <v>29</v>
      </c>
      <c r="U3" t="s">
        <v>29</v>
      </c>
      <c r="V3" t="s">
        <v>29</v>
      </c>
      <c r="W3">
        <v>2</v>
      </c>
      <c r="X3" t="s">
        <v>30</v>
      </c>
    </row>
    <row r="4" spans="1:26">
      <c r="A4">
        <v>26</v>
      </c>
      <c r="B4">
        <v>0</v>
      </c>
      <c r="C4">
        <v>1</v>
      </c>
      <c r="D4">
        <v>1</v>
      </c>
      <c r="E4">
        <v>0</v>
      </c>
      <c r="F4" t="s">
        <v>29</v>
      </c>
      <c r="G4">
        <v>0</v>
      </c>
      <c r="H4">
        <v>0</v>
      </c>
      <c r="I4">
        <v>0</v>
      </c>
      <c r="J4">
        <v>0</v>
      </c>
      <c r="K4">
        <v>0</v>
      </c>
      <c r="L4">
        <v>0</v>
      </c>
      <c r="M4">
        <v>0</v>
      </c>
      <c r="N4">
        <v>2</v>
      </c>
      <c r="O4">
        <v>0</v>
      </c>
      <c r="P4">
        <v>0</v>
      </c>
      <c r="Q4">
        <v>0</v>
      </c>
      <c r="R4">
        <v>0</v>
      </c>
      <c r="S4">
        <v>0</v>
      </c>
      <c r="T4">
        <v>0</v>
      </c>
      <c r="U4">
        <v>5</v>
      </c>
      <c r="V4">
        <v>0</v>
      </c>
      <c r="W4">
        <v>5</v>
      </c>
      <c r="X4" t="s">
        <v>30</v>
      </c>
    </row>
    <row r="5" spans="1:26">
      <c r="A5">
        <v>34</v>
      </c>
      <c r="B5">
        <v>0</v>
      </c>
      <c r="C5" t="s">
        <v>29</v>
      </c>
      <c r="D5" t="s">
        <v>29</v>
      </c>
      <c r="E5" t="s">
        <v>29</v>
      </c>
      <c r="F5" t="s">
        <v>29</v>
      </c>
      <c r="G5" t="s">
        <v>29</v>
      </c>
      <c r="H5" t="s">
        <v>29</v>
      </c>
      <c r="I5" t="s">
        <v>29</v>
      </c>
      <c r="J5" t="s">
        <v>29</v>
      </c>
      <c r="K5" t="s">
        <v>29</v>
      </c>
      <c r="L5">
        <v>0</v>
      </c>
      <c r="M5" t="s">
        <v>29</v>
      </c>
      <c r="N5" t="s">
        <v>29</v>
      </c>
      <c r="O5" t="s">
        <v>29</v>
      </c>
      <c r="P5">
        <v>0</v>
      </c>
      <c r="Q5" t="s">
        <v>29</v>
      </c>
      <c r="R5" t="s">
        <v>29</v>
      </c>
      <c r="S5" t="s">
        <v>29</v>
      </c>
      <c r="T5">
        <v>0</v>
      </c>
      <c r="U5">
        <v>0</v>
      </c>
      <c r="V5" t="s">
        <v>29</v>
      </c>
      <c r="W5" t="s">
        <v>29</v>
      </c>
      <c r="X5" t="s">
        <v>30</v>
      </c>
    </row>
    <row r="6" spans="1:26">
      <c r="A6">
        <v>35</v>
      </c>
      <c r="B6">
        <v>1</v>
      </c>
      <c r="C6">
        <v>1</v>
      </c>
      <c r="D6">
        <v>0</v>
      </c>
      <c r="E6">
        <v>0</v>
      </c>
      <c r="F6">
        <v>0</v>
      </c>
      <c r="G6">
        <v>0</v>
      </c>
      <c r="H6">
        <v>0</v>
      </c>
      <c r="I6">
        <v>0</v>
      </c>
      <c r="J6">
        <v>0</v>
      </c>
      <c r="K6">
        <v>0</v>
      </c>
      <c r="L6">
        <v>0</v>
      </c>
      <c r="M6">
        <v>0</v>
      </c>
      <c r="N6">
        <v>3</v>
      </c>
      <c r="O6">
        <v>0</v>
      </c>
      <c r="P6">
        <v>0</v>
      </c>
      <c r="Q6">
        <v>0</v>
      </c>
      <c r="R6">
        <v>0</v>
      </c>
      <c r="S6">
        <v>0</v>
      </c>
      <c r="T6">
        <v>0</v>
      </c>
      <c r="U6">
        <v>0</v>
      </c>
      <c r="V6">
        <v>0</v>
      </c>
      <c r="W6">
        <v>0</v>
      </c>
      <c r="X6" t="s">
        <v>30</v>
      </c>
    </row>
    <row r="7" spans="1:26">
      <c r="A7">
        <v>37</v>
      </c>
      <c r="B7">
        <v>0</v>
      </c>
      <c r="C7" t="s">
        <v>29</v>
      </c>
      <c r="D7">
        <v>0</v>
      </c>
      <c r="E7" t="s">
        <v>29</v>
      </c>
      <c r="F7" t="s">
        <v>29</v>
      </c>
      <c r="G7" t="s">
        <v>29</v>
      </c>
      <c r="H7" t="s">
        <v>29</v>
      </c>
      <c r="I7" t="s">
        <v>29</v>
      </c>
      <c r="J7" t="s">
        <v>29</v>
      </c>
      <c r="K7" t="s">
        <v>29</v>
      </c>
      <c r="L7" t="s">
        <v>29</v>
      </c>
      <c r="M7" t="s">
        <v>29</v>
      </c>
      <c r="N7" t="s">
        <v>29</v>
      </c>
      <c r="O7" t="s">
        <v>29</v>
      </c>
      <c r="P7" t="s">
        <v>29</v>
      </c>
      <c r="Q7" t="s">
        <v>29</v>
      </c>
      <c r="R7" t="s">
        <v>29</v>
      </c>
      <c r="S7">
        <v>0</v>
      </c>
      <c r="T7" t="s">
        <v>29</v>
      </c>
      <c r="U7" t="s">
        <v>29</v>
      </c>
      <c r="V7" t="s">
        <v>29</v>
      </c>
      <c r="W7" t="s">
        <v>29</v>
      </c>
      <c r="X7" t="s">
        <v>30</v>
      </c>
    </row>
    <row r="8" spans="1:26">
      <c r="A8">
        <v>56</v>
      </c>
      <c r="B8">
        <v>0</v>
      </c>
      <c r="C8">
        <v>0</v>
      </c>
      <c r="D8">
        <v>0</v>
      </c>
      <c r="E8">
        <v>0</v>
      </c>
      <c r="F8">
        <v>0</v>
      </c>
      <c r="G8">
        <v>0</v>
      </c>
      <c r="H8">
        <v>1</v>
      </c>
      <c r="I8">
        <v>0</v>
      </c>
      <c r="J8">
        <v>0</v>
      </c>
      <c r="K8">
        <v>0</v>
      </c>
      <c r="L8">
        <v>1</v>
      </c>
      <c r="M8">
        <v>0</v>
      </c>
      <c r="N8">
        <v>0</v>
      </c>
      <c r="O8">
        <v>0</v>
      </c>
      <c r="P8">
        <v>0</v>
      </c>
      <c r="Q8">
        <v>0</v>
      </c>
      <c r="R8">
        <v>0</v>
      </c>
      <c r="S8">
        <v>0</v>
      </c>
      <c r="T8">
        <v>0</v>
      </c>
      <c r="U8">
        <v>0</v>
      </c>
      <c r="V8">
        <v>0</v>
      </c>
      <c r="W8">
        <v>1</v>
      </c>
      <c r="X8" t="s">
        <v>30</v>
      </c>
    </row>
    <row r="9" spans="1:26">
      <c r="A9">
        <v>61</v>
      </c>
      <c r="B9">
        <v>0</v>
      </c>
      <c r="C9">
        <v>0</v>
      </c>
      <c r="D9">
        <v>0</v>
      </c>
      <c r="E9">
        <v>0</v>
      </c>
      <c r="F9" t="s">
        <v>29</v>
      </c>
      <c r="G9">
        <v>0</v>
      </c>
      <c r="H9">
        <v>0</v>
      </c>
      <c r="I9">
        <v>0</v>
      </c>
      <c r="J9">
        <v>0</v>
      </c>
      <c r="K9">
        <v>0</v>
      </c>
      <c r="L9">
        <v>0</v>
      </c>
      <c r="M9">
        <v>0</v>
      </c>
      <c r="N9">
        <v>0</v>
      </c>
      <c r="O9">
        <v>0</v>
      </c>
      <c r="P9">
        <v>0</v>
      </c>
      <c r="Q9">
        <v>0</v>
      </c>
      <c r="R9">
        <v>0</v>
      </c>
      <c r="S9">
        <v>0</v>
      </c>
      <c r="T9">
        <v>0</v>
      </c>
      <c r="U9" t="s">
        <v>29</v>
      </c>
      <c r="V9" t="s">
        <v>29</v>
      </c>
      <c r="W9" t="s">
        <v>29</v>
      </c>
      <c r="X9" t="s">
        <v>30</v>
      </c>
    </row>
    <row r="10" spans="1:26">
      <c r="A10">
        <v>66</v>
      </c>
      <c r="B10">
        <v>0</v>
      </c>
      <c r="C10">
        <v>0</v>
      </c>
      <c r="D10">
        <v>0</v>
      </c>
      <c r="E10">
        <v>0</v>
      </c>
      <c r="F10" t="s">
        <v>29</v>
      </c>
      <c r="G10">
        <v>1</v>
      </c>
      <c r="H10">
        <v>0</v>
      </c>
      <c r="I10">
        <v>0</v>
      </c>
      <c r="J10">
        <v>0</v>
      </c>
      <c r="K10">
        <v>0</v>
      </c>
      <c r="L10">
        <v>0</v>
      </c>
      <c r="M10">
        <v>0</v>
      </c>
      <c r="N10" t="s">
        <v>29</v>
      </c>
      <c r="O10">
        <v>1</v>
      </c>
      <c r="P10">
        <v>0</v>
      </c>
      <c r="Q10">
        <v>1</v>
      </c>
      <c r="R10">
        <v>0</v>
      </c>
      <c r="S10">
        <v>0</v>
      </c>
      <c r="T10">
        <v>0</v>
      </c>
      <c r="U10">
        <v>0</v>
      </c>
      <c r="V10">
        <v>0</v>
      </c>
      <c r="W10">
        <v>1</v>
      </c>
      <c r="X10" t="s">
        <v>30</v>
      </c>
    </row>
    <row r="11" spans="1:26">
      <c r="A11">
        <v>67</v>
      </c>
      <c r="B11">
        <v>0</v>
      </c>
      <c r="C11" t="s">
        <v>29</v>
      </c>
      <c r="D11" t="s">
        <v>29</v>
      </c>
      <c r="E11" t="s">
        <v>29</v>
      </c>
      <c r="F11" t="s">
        <v>29</v>
      </c>
      <c r="G11" t="s">
        <v>29</v>
      </c>
      <c r="H11" t="s">
        <v>29</v>
      </c>
      <c r="I11" t="s">
        <v>29</v>
      </c>
      <c r="J11" t="s">
        <v>29</v>
      </c>
      <c r="K11" t="s">
        <v>29</v>
      </c>
      <c r="L11" t="s">
        <v>29</v>
      </c>
      <c r="M11" t="s">
        <v>29</v>
      </c>
      <c r="N11" t="s">
        <v>29</v>
      </c>
      <c r="O11" t="s">
        <v>29</v>
      </c>
      <c r="P11" t="s">
        <v>29</v>
      </c>
      <c r="Q11" t="s">
        <v>29</v>
      </c>
      <c r="R11" t="s">
        <v>29</v>
      </c>
      <c r="S11" t="s">
        <v>29</v>
      </c>
      <c r="T11" t="s">
        <v>29</v>
      </c>
      <c r="U11" t="s">
        <v>29</v>
      </c>
      <c r="V11" t="s">
        <v>29</v>
      </c>
      <c r="W11" t="s">
        <v>29</v>
      </c>
      <c r="X11" t="s">
        <v>30</v>
      </c>
    </row>
    <row r="12" spans="1:26">
      <c r="A12">
        <v>69</v>
      </c>
      <c r="B12">
        <v>0</v>
      </c>
      <c r="C12">
        <v>0</v>
      </c>
      <c r="D12" t="s">
        <v>29</v>
      </c>
      <c r="E12">
        <v>0</v>
      </c>
      <c r="F12" t="s">
        <v>29</v>
      </c>
      <c r="G12">
        <v>0</v>
      </c>
      <c r="H12">
        <v>0</v>
      </c>
      <c r="I12">
        <v>0</v>
      </c>
      <c r="J12">
        <v>0</v>
      </c>
      <c r="K12">
        <v>0</v>
      </c>
      <c r="L12">
        <v>0</v>
      </c>
      <c r="M12">
        <v>0</v>
      </c>
      <c r="N12">
        <v>0</v>
      </c>
      <c r="O12">
        <v>2</v>
      </c>
      <c r="P12">
        <v>1</v>
      </c>
      <c r="Q12">
        <v>0</v>
      </c>
      <c r="R12">
        <v>0</v>
      </c>
      <c r="S12">
        <v>0</v>
      </c>
      <c r="T12" t="s">
        <v>29</v>
      </c>
      <c r="U12" t="s">
        <v>29</v>
      </c>
      <c r="V12" t="s">
        <v>29</v>
      </c>
      <c r="W12" t="s">
        <v>29</v>
      </c>
      <c r="X12" t="s">
        <v>30</v>
      </c>
    </row>
    <row r="13" spans="1:26">
      <c r="A13">
        <v>70</v>
      </c>
      <c r="B13">
        <v>0</v>
      </c>
      <c r="C13">
        <v>0</v>
      </c>
      <c r="D13">
        <v>0</v>
      </c>
      <c r="E13">
        <v>0</v>
      </c>
      <c r="F13">
        <v>0</v>
      </c>
      <c r="G13">
        <v>0</v>
      </c>
      <c r="H13">
        <v>0</v>
      </c>
      <c r="I13">
        <v>2</v>
      </c>
      <c r="J13">
        <v>1</v>
      </c>
      <c r="K13">
        <v>0</v>
      </c>
      <c r="L13">
        <v>0</v>
      </c>
      <c r="M13">
        <v>0</v>
      </c>
      <c r="N13">
        <v>0</v>
      </c>
      <c r="O13">
        <v>0</v>
      </c>
      <c r="P13">
        <v>0</v>
      </c>
      <c r="Q13">
        <v>0</v>
      </c>
      <c r="R13">
        <v>0</v>
      </c>
      <c r="S13">
        <v>0</v>
      </c>
      <c r="T13">
        <v>2</v>
      </c>
      <c r="U13">
        <v>0</v>
      </c>
      <c r="V13">
        <v>1</v>
      </c>
      <c r="W13" t="s">
        <v>29</v>
      </c>
      <c r="X13" t="s">
        <v>30</v>
      </c>
    </row>
    <row r="14" spans="1:26">
      <c r="A14">
        <v>71</v>
      </c>
      <c r="B14">
        <v>0</v>
      </c>
      <c r="C14" t="s">
        <v>29</v>
      </c>
      <c r="D14">
        <v>0</v>
      </c>
      <c r="E14">
        <v>0</v>
      </c>
      <c r="F14">
        <v>0</v>
      </c>
      <c r="G14">
        <v>0</v>
      </c>
      <c r="H14">
        <v>0</v>
      </c>
      <c r="I14">
        <v>0</v>
      </c>
      <c r="J14">
        <v>0</v>
      </c>
      <c r="K14">
        <v>0</v>
      </c>
      <c r="L14">
        <v>0</v>
      </c>
      <c r="M14">
        <v>0</v>
      </c>
      <c r="N14">
        <v>0</v>
      </c>
      <c r="O14">
        <v>0</v>
      </c>
      <c r="P14">
        <v>0</v>
      </c>
      <c r="Q14">
        <v>0</v>
      </c>
      <c r="R14">
        <v>0</v>
      </c>
      <c r="S14">
        <v>0</v>
      </c>
      <c r="T14">
        <v>0</v>
      </c>
      <c r="U14">
        <v>0</v>
      </c>
      <c r="V14">
        <v>0</v>
      </c>
      <c r="W14">
        <v>0</v>
      </c>
      <c r="X14" t="s">
        <v>30</v>
      </c>
    </row>
    <row r="15" spans="1:26">
      <c r="A15">
        <v>76</v>
      </c>
      <c r="B15">
        <v>0</v>
      </c>
      <c r="C15">
        <v>0</v>
      </c>
      <c r="D15">
        <v>0</v>
      </c>
      <c r="E15">
        <v>0</v>
      </c>
      <c r="F15">
        <v>0</v>
      </c>
      <c r="G15">
        <v>0</v>
      </c>
      <c r="H15">
        <v>0</v>
      </c>
      <c r="I15">
        <v>0</v>
      </c>
      <c r="J15">
        <v>0</v>
      </c>
      <c r="K15">
        <v>0</v>
      </c>
      <c r="L15">
        <v>0</v>
      </c>
      <c r="M15">
        <v>0</v>
      </c>
      <c r="N15">
        <v>3</v>
      </c>
      <c r="O15">
        <v>0</v>
      </c>
      <c r="P15">
        <v>0</v>
      </c>
      <c r="Q15">
        <v>0</v>
      </c>
      <c r="R15">
        <v>0</v>
      </c>
      <c r="S15">
        <v>0</v>
      </c>
      <c r="T15">
        <v>1</v>
      </c>
      <c r="U15" t="s">
        <v>29</v>
      </c>
      <c r="V15">
        <v>1</v>
      </c>
      <c r="W15" t="s">
        <v>29</v>
      </c>
      <c r="X15" t="s">
        <v>30</v>
      </c>
    </row>
    <row r="16" spans="1:26">
      <c r="A16">
        <v>77</v>
      </c>
      <c r="B16" t="s">
        <v>29</v>
      </c>
      <c r="C16" t="s">
        <v>29</v>
      </c>
      <c r="D16" t="s">
        <v>29</v>
      </c>
      <c r="E16">
        <v>0</v>
      </c>
      <c r="F16">
        <v>0</v>
      </c>
      <c r="G16">
        <v>0</v>
      </c>
      <c r="H16">
        <v>0</v>
      </c>
      <c r="I16">
        <v>0</v>
      </c>
      <c r="J16">
        <v>0</v>
      </c>
      <c r="K16">
        <v>0</v>
      </c>
      <c r="L16">
        <v>0</v>
      </c>
      <c r="M16">
        <v>0</v>
      </c>
      <c r="N16">
        <v>0</v>
      </c>
      <c r="O16">
        <v>0</v>
      </c>
      <c r="P16">
        <v>0</v>
      </c>
      <c r="Q16">
        <v>0</v>
      </c>
      <c r="R16">
        <v>0</v>
      </c>
      <c r="S16">
        <v>0</v>
      </c>
      <c r="T16">
        <v>0</v>
      </c>
      <c r="U16">
        <v>0</v>
      </c>
      <c r="V16">
        <v>0</v>
      </c>
      <c r="W16" t="s">
        <v>29</v>
      </c>
      <c r="X16" t="s">
        <v>29</v>
      </c>
      <c r="Y16" t="s">
        <v>29</v>
      </c>
      <c r="Z16" t="s">
        <v>30</v>
      </c>
    </row>
    <row r="17" spans="2:23">
      <c r="B17">
        <f>AVERAGE(B1:B16)</f>
        <v>7.1428571428571425E-2</v>
      </c>
      <c r="C17">
        <f t="shared" ref="C17:W17" si="0">AVERAGE(C1:C16)</f>
        <v>0.27272727272727271</v>
      </c>
      <c r="D17">
        <f t="shared" si="0"/>
        <v>0.18181818181818182</v>
      </c>
      <c r="E17">
        <f t="shared" si="0"/>
        <v>0.16666666666666666</v>
      </c>
      <c r="F17">
        <f t="shared" si="0"/>
        <v>0.1111111111111111</v>
      </c>
      <c r="G17">
        <f t="shared" si="0"/>
        <v>8.3333333333333329E-2</v>
      </c>
      <c r="H17">
        <f t="shared" si="0"/>
        <v>8.3333333333333329E-2</v>
      </c>
      <c r="I17">
        <f t="shared" si="0"/>
        <v>0.16666666666666666</v>
      </c>
      <c r="J17">
        <f t="shared" si="0"/>
        <v>8.3333333333333329E-2</v>
      </c>
      <c r="K17">
        <f t="shared" si="0"/>
        <v>0</v>
      </c>
      <c r="L17">
        <f t="shared" si="0"/>
        <v>7.6923076923076927E-2</v>
      </c>
      <c r="M17">
        <f t="shared" si="0"/>
        <v>0</v>
      </c>
      <c r="N17">
        <f t="shared" si="0"/>
        <v>0.72727272727272729</v>
      </c>
      <c r="O17">
        <f t="shared" si="0"/>
        <v>0.27272727272727271</v>
      </c>
      <c r="P17">
        <f t="shared" si="0"/>
        <v>8.3333333333333329E-2</v>
      </c>
      <c r="Q17">
        <f t="shared" si="0"/>
        <v>8.3333333333333329E-2</v>
      </c>
      <c r="R17">
        <f t="shared" si="0"/>
        <v>0</v>
      </c>
      <c r="S17">
        <f t="shared" si="0"/>
        <v>7.6923076923076927E-2</v>
      </c>
      <c r="T17">
        <f t="shared" si="0"/>
        <v>0.27272727272727271</v>
      </c>
      <c r="U17">
        <f t="shared" si="0"/>
        <v>0.8</v>
      </c>
      <c r="V17">
        <f t="shared" si="0"/>
        <v>0.44444444444444442</v>
      </c>
      <c r="W17">
        <f t="shared" si="0"/>
        <v>1.2857142857142858</v>
      </c>
    </row>
    <row r="18" spans="2:23">
      <c r="B18">
        <f>B17+1</f>
        <v>1.0714285714285714</v>
      </c>
      <c r="C18">
        <f t="shared" ref="C18:W18" si="1">C17+1</f>
        <v>1.2727272727272727</v>
      </c>
      <c r="D18">
        <f t="shared" si="1"/>
        <v>1.1818181818181819</v>
      </c>
      <c r="E18">
        <f t="shared" si="1"/>
        <v>1.1666666666666667</v>
      </c>
      <c r="F18">
        <f t="shared" si="1"/>
        <v>1.1111111111111112</v>
      </c>
      <c r="G18">
        <f t="shared" si="1"/>
        <v>1.0833333333333333</v>
      </c>
      <c r="H18">
        <f t="shared" si="1"/>
        <v>1.0833333333333333</v>
      </c>
      <c r="I18">
        <f t="shared" si="1"/>
        <v>1.1666666666666667</v>
      </c>
      <c r="J18">
        <f t="shared" si="1"/>
        <v>1.0833333333333333</v>
      </c>
      <c r="K18">
        <f t="shared" si="1"/>
        <v>1</v>
      </c>
      <c r="L18">
        <f t="shared" si="1"/>
        <v>1.0769230769230769</v>
      </c>
      <c r="M18">
        <f t="shared" si="1"/>
        <v>1</v>
      </c>
      <c r="N18">
        <f t="shared" si="1"/>
        <v>1.7272727272727273</v>
      </c>
      <c r="O18">
        <f t="shared" si="1"/>
        <v>1.2727272727272727</v>
      </c>
      <c r="P18">
        <f t="shared" si="1"/>
        <v>1.0833333333333333</v>
      </c>
      <c r="Q18">
        <f t="shared" si="1"/>
        <v>1.0833333333333333</v>
      </c>
      <c r="R18">
        <f t="shared" si="1"/>
        <v>1</v>
      </c>
      <c r="S18">
        <f t="shared" si="1"/>
        <v>1.0769230769230769</v>
      </c>
      <c r="T18">
        <f t="shared" si="1"/>
        <v>1.2727272727272727</v>
      </c>
      <c r="U18">
        <f t="shared" si="1"/>
        <v>1.8</v>
      </c>
      <c r="V18">
        <f t="shared" si="1"/>
        <v>1.4444444444444444</v>
      </c>
      <c r="W18">
        <f t="shared" si="1"/>
        <v>2.2857142857142856</v>
      </c>
    </row>
    <row r="20" spans="2:23">
      <c r="F20" t="s">
        <v>310</v>
      </c>
      <c r="G20" t="s">
        <v>311</v>
      </c>
    </row>
    <row r="21" spans="2:23">
      <c r="E21" t="s">
        <v>309</v>
      </c>
      <c r="F21">
        <f>AVERAGE(B18:W18)</f>
        <v>1.242900786082604</v>
      </c>
      <c r="G21">
        <v>1.318697716</v>
      </c>
    </row>
    <row r="22" spans="2:23">
      <c r="E22" t="s">
        <v>279</v>
      </c>
      <c r="F22">
        <v>1.524687412</v>
      </c>
      <c r="G22">
        <v>1.551533405</v>
      </c>
    </row>
    <row r="27" spans="2:23">
      <c r="F27">
        <f>F21*60.01</f>
        <v>74.586476172817058</v>
      </c>
    </row>
    <row r="28" spans="2:23">
      <c r="F28">
        <f>F22*51.48</f>
        <v>78.490907969760002</v>
      </c>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1:T227"/>
  <sheetViews>
    <sheetView topLeftCell="A17" workbookViewId="0">
      <selection activeCell="T135" sqref="T135"/>
    </sheetView>
  </sheetViews>
  <sheetFormatPr baseColWidth="10" defaultColWidth="11" defaultRowHeight="15" x14ac:dyDescent="0"/>
  <cols>
    <col min="14" max="14" width="19.33203125" customWidth="1"/>
  </cols>
  <sheetData>
    <row r="1" spans="10:17">
      <c r="J1">
        <v>1</v>
      </c>
      <c r="K1" s="5" t="s">
        <v>284</v>
      </c>
      <c r="L1" s="5"/>
      <c r="M1" s="5"/>
      <c r="N1" s="5"/>
    </row>
    <row r="2" spans="10:17">
      <c r="Q2" t="s">
        <v>304</v>
      </c>
    </row>
    <row r="3" spans="10:17">
      <c r="J3">
        <v>2</v>
      </c>
      <c r="K3" s="5" t="s">
        <v>285</v>
      </c>
      <c r="L3" s="5"/>
      <c r="M3" s="5"/>
      <c r="N3" s="5"/>
      <c r="O3" s="6"/>
    </row>
    <row r="5" spans="10:17">
      <c r="J5">
        <v>3</v>
      </c>
      <c r="K5" s="5" t="s">
        <v>286</v>
      </c>
      <c r="L5" s="5"/>
      <c r="M5" s="5"/>
      <c r="N5" s="5"/>
      <c r="Q5" t="s">
        <v>308</v>
      </c>
    </row>
    <row r="7" spans="10:17">
      <c r="J7">
        <v>4</v>
      </c>
      <c r="K7" s="5" t="s">
        <v>287</v>
      </c>
      <c r="L7" s="5"/>
      <c r="M7" s="5"/>
      <c r="N7" s="5"/>
      <c r="O7" s="5"/>
    </row>
    <row r="9" spans="10:17">
      <c r="J9">
        <v>5</v>
      </c>
      <c r="K9" s="5" t="s">
        <v>288</v>
      </c>
      <c r="L9" s="5"/>
      <c r="M9" s="5"/>
      <c r="N9" s="5"/>
      <c r="O9" s="5"/>
    </row>
    <row r="11" spans="10:17">
      <c r="J11">
        <v>6</v>
      </c>
      <c r="K11" s="5" t="s">
        <v>289</v>
      </c>
      <c r="L11" s="5"/>
      <c r="M11" s="5"/>
      <c r="N11" s="5"/>
      <c r="O11" s="5"/>
    </row>
    <row r="13" spans="10:17">
      <c r="J13">
        <v>7</v>
      </c>
      <c r="K13" s="5" t="s">
        <v>290</v>
      </c>
      <c r="L13" s="5"/>
      <c r="M13" s="5"/>
      <c r="N13" s="5"/>
      <c r="O13" s="5"/>
      <c r="P13" s="5"/>
    </row>
    <row r="15" spans="10:17">
      <c r="J15">
        <v>8</v>
      </c>
      <c r="K15" s="5" t="s">
        <v>291</v>
      </c>
      <c r="L15" s="5"/>
      <c r="M15" s="5"/>
      <c r="N15" s="5"/>
      <c r="O15" s="5"/>
      <c r="P15" s="5"/>
    </row>
    <row r="17" spans="10:17">
      <c r="J17">
        <v>9</v>
      </c>
      <c r="K17" s="5" t="s">
        <v>292</v>
      </c>
      <c r="L17" s="5"/>
      <c r="M17" s="5"/>
      <c r="N17" s="5"/>
      <c r="O17" s="5"/>
      <c r="P17" s="5"/>
      <c r="Q17" s="5"/>
    </row>
    <row r="19" spans="10:17">
      <c r="J19">
        <v>10</v>
      </c>
      <c r="K19" s="5" t="s">
        <v>293</v>
      </c>
      <c r="L19" s="5"/>
      <c r="M19" s="5"/>
      <c r="N19" s="5"/>
      <c r="O19" s="5"/>
    </row>
    <row r="24" spans="10:17">
      <c r="J24">
        <v>11</v>
      </c>
      <c r="K24" t="s">
        <v>294</v>
      </c>
      <c r="Q24" t="s">
        <v>305</v>
      </c>
    </row>
    <row r="26" spans="10:17">
      <c r="J26">
        <v>12</v>
      </c>
      <c r="K26" t="s">
        <v>295</v>
      </c>
    </row>
    <row r="28" spans="10:17">
      <c r="J28">
        <v>13</v>
      </c>
      <c r="K28" t="s">
        <v>296</v>
      </c>
    </row>
    <row r="30" spans="10:17">
      <c r="J30">
        <v>14</v>
      </c>
      <c r="K30" t="s">
        <v>297</v>
      </c>
      <c r="Q30" s="7" t="s">
        <v>307</v>
      </c>
    </row>
    <row r="31" spans="10:17">
      <c r="Q31" s="7"/>
    </row>
    <row r="32" spans="10:17">
      <c r="J32">
        <v>15</v>
      </c>
      <c r="K32" t="s">
        <v>298</v>
      </c>
      <c r="Q32" s="7"/>
    </row>
    <row r="33" spans="10:17">
      <c r="Q33" s="7"/>
    </row>
    <row r="34" spans="10:17">
      <c r="J34">
        <v>16</v>
      </c>
      <c r="K34" t="s">
        <v>299</v>
      </c>
      <c r="Q34" s="7"/>
    </row>
    <row r="35" spans="10:17">
      <c r="Q35" s="7"/>
    </row>
    <row r="36" spans="10:17">
      <c r="J36">
        <v>17</v>
      </c>
      <c r="K36" t="s">
        <v>300</v>
      </c>
      <c r="Q36" s="7"/>
    </row>
    <row r="37" spans="10:17">
      <c r="Q37" s="7"/>
    </row>
    <row r="38" spans="10:17">
      <c r="J38">
        <v>18</v>
      </c>
      <c r="K38" t="s">
        <v>301</v>
      </c>
      <c r="Q38" s="7"/>
    </row>
    <row r="39" spans="10:17">
      <c r="Q39" s="7"/>
    </row>
    <row r="40" spans="10:17">
      <c r="J40">
        <v>19</v>
      </c>
      <c r="K40" t="s">
        <v>302</v>
      </c>
      <c r="Q40" s="7"/>
    </row>
    <row r="42" spans="10:17">
      <c r="J42">
        <v>20</v>
      </c>
      <c r="K42" t="s">
        <v>303</v>
      </c>
      <c r="Q42" t="s">
        <v>306</v>
      </c>
    </row>
    <row r="132" spans="19:20">
      <c r="T132" t="s">
        <v>280</v>
      </c>
    </row>
    <row r="133" spans="19:20" ht="16.5" thickBot="1">
      <c r="S133" t="s">
        <v>281</v>
      </c>
      <c r="T133" s="4">
        <v>2.0620516831847541E-2</v>
      </c>
    </row>
    <row r="134" spans="19:20" ht="16.5" thickBot="1">
      <c r="S134" t="s">
        <v>282</v>
      </c>
      <c r="T134" s="4">
        <v>3.4759528859882135E-7</v>
      </c>
    </row>
    <row r="135" spans="19:20" ht="16.5" thickBot="1">
      <c r="S135" t="s">
        <v>283</v>
      </c>
      <c r="T135" s="4">
        <v>0.93545459421586075</v>
      </c>
    </row>
    <row r="187" spans="12:12">
      <c r="L187" t="s">
        <v>280</v>
      </c>
    </row>
    <row r="188" spans="12:12">
      <c r="L188">
        <v>0.13674</v>
      </c>
    </row>
    <row r="226" spans="12:12">
      <c r="L226" t="s">
        <v>280</v>
      </c>
    </row>
    <row r="227" spans="12:12">
      <c r="L227">
        <v>2.0931999999999999E-2</v>
      </c>
    </row>
  </sheetData>
  <mergeCells count="10">
    <mergeCell ref="K13:P13"/>
    <mergeCell ref="K15:P15"/>
    <mergeCell ref="K17:Q17"/>
    <mergeCell ref="K19:O19"/>
    <mergeCell ref="K1:N1"/>
    <mergeCell ref="K3:N3"/>
    <mergeCell ref="K5:N5"/>
    <mergeCell ref="K7:O7"/>
    <mergeCell ref="K9:O9"/>
    <mergeCell ref="K11:O11"/>
  </mergeCells>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PostQuestionnaire.csv</vt:lpstr>
      <vt:lpstr>Sheet1</vt:lpstr>
      <vt:lpstr>Average time collab</vt:lpstr>
      <vt:lpstr>Average Time</vt:lpstr>
      <vt:lpstr>Average Time Collab Correct</vt:lpstr>
      <vt:lpstr>Average Time Correct</vt:lpstr>
      <vt:lpstr>Average Time Collab Incorrect</vt:lpstr>
      <vt:lpstr>Average Time Incorrect</vt:lpstr>
      <vt:lpstr>Errors with Time</vt:lpstr>
      <vt:lpstr>Errors per Question</vt:lpstr>
      <vt:lpstr>Errors with Time Collab</vt:lpstr>
      <vt:lpstr>Errors per Question Collab</vt:lpstr>
      <vt:lpstr>Graphs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dc:creator>
  <cp:lastModifiedBy>Matthew</cp:lastModifiedBy>
  <dcterms:created xsi:type="dcterms:W3CDTF">2015-03-31T07:04:58Z</dcterms:created>
  <dcterms:modified xsi:type="dcterms:W3CDTF">2015-04-19T22:35:23Z</dcterms:modified>
</cp:coreProperties>
</file>